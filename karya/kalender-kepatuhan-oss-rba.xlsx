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showInkAnnotation="0" autoCompressPictures="0"/>
  <xr:revisionPtr revIDLastSave="0" documentId="8_{26FF7AB3-9CD0-47BC-B664-9B67419E04B5}" xr6:coauthVersionLast="47" xr6:coauthVersionMax="47" xr10:uidLastSave="{00000000-0000-0000-0000-000000000000}"/>
  <bookViews>
    <workbookView xWindow="0" yWindow="0" windowWidth="0" windowHeight="0" xr2:uid="{00000000-000D-0000-FFFF-FFFF00000000}"/>
  </bookViews>
  <sheets>
    <sheet name="Ringkasan" sheetId="1" r:id="rId1"/>
    <sheet name="Register" sheetId="2" r:id="rId2"/>
    <sheet name="Kalender" sheetId="3" r:id="rId3"/>
    <sheet name="Prioritas" sheetId="4" r:id="rId4"/>
    <sheet name="Catatan Internal" sheetId="5" r:id="rId5"/>
    <sheet name="Referensi" sheetId="6" r:id="rId6"/>
    <sheet name="Keputusan LKPM" sheetId="7" r:id="rId7"/>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E5" i="1"/>
  <c r="C5" i="1"/>
  <c r="A5" i="1"/>
</calcChain>
</file>

<file path=xl/sharedStrings.xml><?xml version="1.0" encoding="utf-8"?>
<sst xmlns="http://schemas.openxmlformats.org/spreadsheetml/2006/main" count="386" uniqueCount="308">
  <si>
    <t>PROJECT 8 | LICENSING COMPLIANCE CALENDAR</t>
  </si>
  <si>
    <t>PT Sinar Boga Nusantara (project bootcamp) | Periode: Juli–Desember 2026</t>
  </si>
  <si>
    <t>Jumlah aktivitas</t>
  </si>
  <si>
    <t>Prioritas tinggi</t>
  </si>
  <si>
    <t>Kontrol rutin</t>
  </si>
  <si>
    <t>Aktivitas belum dikonfirmasi</t>
  </si>
  <si>
    <t>FAKTA UTAMA DARI SUMBER</t>
  </si>
  <si>
    <t>DATA KRITIS YANG BELUM TERSEDIA</t>
  </si>
  <si>
    <t>• Perusahaan: PT Sinar Boga Nusantara (fiktif).</t>
  </si>
  <si>
    <t>• Skala usaha (mikro/kecil/menengah/besar).</t>
  </si>
  <si>
    <t>• Bidang: produksi makanan ringan kemasan.</t>
  </si>
  <si>
    <t>• KBLI, nomor proyek, status dan rincian risiko OSS.</t>
  </si>
  <si>
    <t>• NIB dan NPWP Badan aktif; Sertifikat Standar terverifikasi.</t>
  </si>
  <si>
    <t>• Alamat/fungsi gudang dan persyaratan lokasi yang terpicu.</t>
  </si>
  <si>
    <t>• Pabrik aktif Juli; gudang tambahan disewa Agustus; PIC operasional berubah September.</t>
  </si>
  <si>
    <t>• Riwayat LKPM, bukti tanda terima, dan status pelaksanaan Juli–Oktober.</t>
  </si>
  <si>
    <t>• Monitoring data OSS diminta minimal bulanan.</t>
  </si>
  <si>
    <t>• Rincian izin/komitmen sektoral yang berlaku untuk produk dan lokasi.</t>
  </si>
  <si>
    <t>• Periode kalender kasus: Juli–Desember 2026.</t>
  </si>
  <si>
    <t>• Jangan tandai selesai tanpa bukti.</t>
  </si>
  <si>
    <t>CATATAN HUKUM LKPM — WAJIB PASTIKAN SKALA USAHA SEBELUM MENENTUKAN TENGGAT</t>
  </si>
  <si>
    <t>Permeninves/BKPM No. 5 Tahun 2025 Pasal 286: skala usaha kecil menyampaikan LKPM per semester (Semester I paling lambat 15 Juli; Semester II paling lambat 15 Januari tahun berikutnya). Skala menengah dan besar menyampaikan LKPM per triwulan (QI 15 April, QII 15 Juli, QIII 15 Oktober, QIV 15 Januari tahun berikutnya). Pelaku usaha mikro pada umumnya tidak diwajibkan, dengan memperhatikan ketentuan pengecualian/ruang lingkup. Karena skala PT Sinar Boga Nusantara tidak disebut dalam materi, tanggal-tanggal tersebut adalah bersyarat.</t>
  </si>
  <si>
    <t>PERINGATAN WAKTU: Juli–September sudah lewat dan tenggat QIII 15 Oktober juga telah lewat jika kategori menengah/besar berlaku. Ini bukan bukti laporan terlambat atau sudah dikirim. Periksa bukti aktual dan dokumentasikan status secara retrospektif sebelum menutup item. Kalender ini alat kontrol simulasi, bukan pelaporan pada akun OSS nyata.</t>
  </si>
  <si>
    <t>Navigasi: gunakan Register untuk detail aktivitas dan status; Kalender untuk matriks bulanan; Prioritas untuk urutan pengawasan; Catatan Internal dan Referensi untuk cara menjalankan kontrol.</t>
  </si>
  <si>
    <t>REGISTER KEPATUHAN PERIZINAN &amp; MONITORING</t>
  </si>
  <si>
    <t>PT Sinar Boga Nusantara (kasus fiktif) | Periode Juli–Desember 2026 | Status awal tidak diasumsikan; ubah status hanya dengan bukti.</t>
  </si>
  <si>
    <t>ID</t>
  </si>
  <si>
    <t>Kewajiban / Aktivitas</t>
  </si>
  <si>
    <t>Jenis</t>
  </si>
  <si>
    <t>Dasar / Pemicu</t>
  </si>
  <si>
    <t>Waktu / Frekuensi</t>
  </si>
  <si>
    <t>PIC Utama</t>
  </si>
  <si>
    <t>PIC Pendukung</t>
  </si>
  <si>
    <t>Dokumen / Bukti</t>
  </si>
  <si>
    <t>Risiko Jika Terlewat</t>
  </si>
  <si>
    <t>Prioritas</t>
  </si>
  <si>
    <t>Status</t>
  </si>
  <si>
    <t>Sumber / Catatan</t>
  </si>
  <si>
    <t>Pengecekan kesesuaian profil dan data OSS dengan kondisi aktual</t>
  </si>
  <si>
    <t>Rutin</t>
  </si>
  <si>
    <t>Instruksi manajemen: pemeriksaan minimal satu kali per bulan.</t>
  </si>
  <si>
    <t>Setiap bulan, Juli–Desember 2026.</t>
  </si>
  <si>
    <t>Admin OSS</t>
  </si>
  <si>
    <t>Legal Officer</t>
  </si>
  <si>
    <t>Checklist bulanan; profil OSS, NIB, keluaran perizinan terakhir; catatan perubahan.</t>
  </si>
  <si>
    <t>Data OSS tidak sesuai kondisi aktual; tindak lanjut perubahan terlambat.</t>
  </si>
  <si>
    <t>Tinggi</t>
  </si>
  <si>
    <t>Belum dikonfirmasi</t>
  </si>
  <si>
    <t>Data Internal Project 8; monitoring bulanan berasal langsung dari brief.</t>
  </si>
  <si>
    <t>Review kesesuaian perizinan sebelum/ketika pabrik aktif</t>
  </si>
  <si>
    <t>Insidental</t>
  </si>
  <si>
    <t>Operasional pabrik dimulai Juli 2026.</t>
  </si>
  <si>
    <t>Juli 2026; tindak lanjut ketika ada perubahan relevan.</t>
  </si>
  <si>
    <t>Operations Supervisor; Admin OSS</t>
  </si>
  <si>
    <t>NIB, Sertifikat Standar, keluaran OSS; daftar persyaratan yang benar-benar berlaku; bukti operasional.</t>
  </si>
  <si>
    <t>Kegiatan aktual tidak selaras dengan tingkat pemenuhan/persyaratan perizinan yang berlaku.</t>
  </si>
  <si>
    <t>Fakta brief; rincian izin sektoral/KBLI tidak tersedia.</t>
  </si>
  <si>
    <t>Konfirmasi skala usaha, status proyek, dan kalender pelaporan LKPM</t>
  </si>
  <si>
    <t>Berkala</t>
  </si>
  <si>
    <t>Brief menyebut LKPM berkala, tetapi tidak menyebut skala usaha dan riwayat pelaporan.</t>
  </si>
  <si>
    <t>Segera; verifikasi ulang sebelum setiap periode pelaporan.</t>
  </si>
  <si>
    <t>Dasar skala usaha; KBLI/proyek OSS; ketentuan terbaru; jadwal dan bukti LKPM sebelumnya.</t>
  </si>
  <si>
    <t>Salah menentukan kewajiban, periode, atau tenggat LKPM.</t>
  </si>
  <si>
    <t>Perlu verifikasi</t>
  </si>
  <si>
    <t>Permeninves/BKPM 5/2025 Pasal 286; skala usaha tidak ada di data kasus.</t>
  </si>
  <si>
    <t>Persiapan dan review LKPM periode sebelumnya yang relevan</t>
  </si>
  <si>
    <t>Contoh Ioda menempatkan draft LKPM Triwulan II pada Juli; jadwal aktual bergantung pada skala usaha.</t>
  </si>
  <si>
    <t>Juli sesuai contoh; cek retrospektif apakah laporan yang relevan telah disiapkan/disampaikan.</t>
  </si>
  <si>
    <t>Operations Supervisor; HR Officer; Legal Officer</t>
  </si>
  <si>
    <t>Data investasi terverifikasi; tenaga kerja; perkembangan usaha; kendala; status perizinan; tanda terima jika disampaikan.</t>
  </si>
  <si>
    <t>Laporan tidak siap, tidak konsisten, atau terlambat apabila kewajiban berlaku.</t>
  </si>
  <si>
    <t>Contoh kalender Ioda; bukan bukti skala usaha atau bahwa laporan sudah dikirim.</t>
  </si>
  <si>
    <t>Analisis dampak penambahan gudang distribusi pada data OSS dan dokumen terkait</t>
  </si>
  <si>
    <t>Gudang distribusi tambahan mulai disewa Agustus 2026.</t>
  </si>
  <si>
    <t>Agustus; lanjutkan tindak lanjut bila kajian menemukan kebutuhan.</t>
  </si>
  <si>
    <t>Admin OSS; Admin Legal; Operations Supervisor</t>
  </si>
  <si>
    <t>Perjanjian sewa; lokasi/fungsi gudang; hasil pemeriksaan kebutuhan pembaruan; dokumen lokasi/izin jika berlaku.</t>
  </si>
  <si>
    <t>Lokasi/fasilitas baru luput dari penilaian atau arsip tidak lengkap.</t>
  </si>
  <si>
    <t>Update OSS tidak diasumsikan otomatis; tentukan dari fakta dan ketentuan.</t>
  </si>
  <si>
    <t>Review perubahan penanggung jawab operasional</t>
  </si>
  <si>
    <t>Perubahan penanggung jawab berlaku mulai September 2026.</t>
  </si>
  <si>
    <t>September; konfirmasi bukti tindak lanjut pada Oktober.</t>
  </si>
  <si>
    <t>HR Officer</t>
  </si>
  <si>
    <t>Legal Officer; Admin OSS jika data OSS perlu diubah</t>
  </si>
  <si>
    <t>Surat penunjukan/perubahan; tanggal efektif; daftar catatan terdampak; bukti pembaruan jika diwajibkan.</t>
  </si>
  <si>
    <t>Catatan internal atau data perizinan relevan tidak konsisten.</t>
  </si>
  <si>
    <t>Brief dan Data Internal; kebutuhan update OSS harus diuji.</t>
  </si>
  <si>
    <t>Rekonsiliasi data operasional, tenaga kerja, investasi, dan kendala</t>
  </si>
  <si>
    <t>Data mendukung monitoring dan LKPM berkala.</t>
  </si>
  <si>
    <t>Bulanan; lebih awal sebelum tiap laporan.</t>
  </si>
  <si>
    <t>Operations Supervisor</t>
  </si>
  <si>
    <t>HR Officer; Admin OSS; Legal Officer</t>
  </si>
  <si>
    <t>Snapshot data bulanan; catatan investasi; data pekerja; perkembangan operasional; log kendala/tindak lanjut.</t>
  </si>
  <si>
    <t>Data laporan tidak akurat atau tidak dapat ditelusuri.</t>
  </si>
  <si>
    <t>Brief dan contoh kalender; angka realisasi tidak diberikan.</t>
  </si>
  <si>
    <t>Verifikasi status LKPM Triwulan III apabila berlaku</t>
  </si>
  <si>
    <t>Skala menengah/besar melapor per triwulan; sumber tidak menyebut skala perusahaan.</t>
  </si>
  <si>
    <t>Cek periode Q3 dan tenggat 15 Oktober 2026 jika kategori berlaku; retrospektif per 24 Oktober.</t>
  </si>
  <si>
    <t>Bukti skala; data Q3; tanda terima/nomor laporan atau memo alasan tidak berlaku.</t>
  </si>
  <si>
    <t>Laporan wajib terlewat atau status kewajiban tidak terdokumentasi.</t>
  </si>
  <si>
    <t>Permeninves/BKPM 5/2025 Pasal 286; tenggat 15 Oktober bukan otomatis berlaku untuk semua skala. Catatan status diperbarui per 25 Oktober 2026.</t>
  </si>
  <si>
    <t>Kontrol arsip legalitas dan bukti pelaksanaan kewajiban</t>
  </si>
  <si>
    <t>Manajemen meminta dokumen legal/administrasi tertata sebagai bukti kepatuhan.</t>
  </si>
  <si>
    <t>Setiap bulan; penutupan Desember 2026.</t>
  </si>
  <si>
    <t>Admin Legal</t>
  </si>
  <si>
    <t>Indeks arsip; versi dokumen; hasil review; perjanjian sewa; perubahan personel; keluaran OSS; tanda terima laporan.</t>
  </si>
  <si>
    <t>Bukti kepatuhan tidak lengkap atau sulit ditelusuri.</t>
  </si>
  <si>
    <t>Sedang</t>
  </si>
  <si>
    <t>Brief dan Data Internal Project 8.</t>
  </si>
  <si>
    <t>Persiapan LKPM periode berikutnya / semester II sesuai kategori</t>
  </si>
  <si>
    <t>Data dan jadwal periode lanjutan harus disiapkan sebelum tenggat yang berlaku.</t>
  </si>
  <si>
    <t>November–Desember; verifikasi tenggat Januari 2027 menurut kategori.</t>
  </si>
  <si>
    <t>Realisasi investasi/tenaga kerja; perkembangan; kendala; data izin; kalender pelaporan terkonfirmasi.</t>
  </si>
  <si>
    <t>Data menumpuk menjelang tenggat atau laporan tidak siap.</t>
  </si>
  <si>
    <t>Brief dan Pasal 286 Permeninves/BKPM 5/2025.</t>
  </si>
  <si>
    <t>KALENDER KEPATUHAN JULI–DESEMBER 2026</t>
  </si>
  <si>
    <t>Matriks target untuk kasus simulasi; bulan yang telah lewat tidak dianggap selesai tanpa bukti. Per 25 Oktober 2026, verifikasi retrospektif diperlukan untuk Juli–September dan tenggat 15 Oktober jika berlaku.</t>
  </si>
  <si>
    <t>Aktivitas</t>
  </si>
  <si>
    <t>PIC utama</t>
  </si>
  <si>
    <t>Juli</t>
  </si>
  <si>
    <t>Agustus</t>
  </si>
  <si>
    <t>September</t>
  </si>
  <si>
    <t>Oktober</t>
  </si>
  <si>
    <t>November</t>
  </si>
  <si>
    <t>Desember</t>
  </si>
  <si>
    <t>Target / catatan</t>
  </si>
  <si>
    <t>Pengecekan kesesuaian data OSS</t>
  </si>
  <si>
    <t>Validasi bulanan</t>
  </si>
  <si>
    <t>Cek retrospektif + kontrol bulanan</t>
  </si>
  <si>
    <t>Pengecekan bulanan</t>
  </si>
  <si>
    <t>Pengecekan + penutupan</t>
  </si>
  <si>
    <t>Minimal 1 kali per bulan; simpan checklist dan tindak lanjut.</t>
  </si>
  <si>
    <t>Kesiapan perizinan operasional pabrik</t>
  </si>
  <si>
    <t>Review mulai operasi</t>
  </si>
  <si>
    <t>Tindak lanjut bila ada temuan</t>
  </si>
  <si>
    <t>Pastikan temuan ditutup</t>
  </si>
  <si>
    <t>Review perubahan bila ada</t>
  </si>
  <si>
    <t>Review akhir tahun</t>
  </si>
  <si>
    <t>Periksa persyaratan yang benar-benar berlaku untuk kegiatan dan lokasi.</t>
  </si>
  <si>
    <t>Konfirmasi skala/status dan jadwal LKPM</t>
  </si>
  <si>
    <t>Tetapkan kategori &amp; tenggat</t>
  </si>
  <si>
    <t>Cek kebutuhan Q3 jika berlaku</t>
  </si>
  <si>
    <t>Kunci data Q3 jika berlaku</t>
  </si>
  <si>
    <t>Cek status tenggat 15 Okt jika berlaku</t>
  </si>
  <si>
    <t>Tindak lanjuti gap</t>
  </si>
  <si>
    <t>Kunci kalender 2027</t>
  </si>
  <si>
    <t>Periode laporan berbeda berdasarkan skala usaha.</t>
  </si>
  <si>
    <t>Draft LKPM periode sebelumnya sesuai kategori</t>
  </si>
  <si>
    <t>Draft QII sesuai contoh / semester I jika berlaku</t>
  </si>
  <si>
    <t>—</t>
  </si>
  <si>
    <t>Contoh Ioda menempatkan draft Triwulan II pada Juli; cek kewajiban aktual dan tanda terima.</t>
  </si>
  <si>
    <t>Kajian gudang distribusi baru</t>
  </si>
  <si>
    <t>Review sewa/lokasi &amp; dampak OSS</t>
  </si>
  <si>
    <t>Tindak lanjut kajian</t>
  </si>
  <si>
    <t>Konfirmasi bukti penutupan</t>
  </si>
  <si>
    <t>Perubahan OSS hanya jika diwajibkan berdasarkan pemeriksaan.</t>
  </si>
  <si>
    <t>Perubahan penanggung jawab operasional</t>
  </si>
  <si>
    <t>Review perubahan &amp; kebutuhan update</t>
  </si>
  <si>
    <t>Verifikasi bukti/tindak lanjut</t>
  </si>
  <si>
    <t>Pastikan dokumen internal dan rekaman relevan konsisten.</t>
  </si>
  <si>
    <t>Rekonsiliasi operasi, tenaga kerja, investasi, kendala</t>
  </si>
  <si>
    <t>Rekonsiliasi bulanan</t>
  </si>
  <si>
    <t>Rekonsiliasi + data Q3</t>
  </si>
  <si>
    <t>Rekonsiliasi + data Q4/Sem II</t>
  </si>
  <si>
    <t>Data harus bersumber dari bukti; jangan menambah angka tanpa dasar.</t>
  </si>
  <si>
    <t>LKPM Triwulan III (bersyarat menengah/besar)</t>
  </si>
  <si>
    <t>Kumpulkan data Q3</t>
  </si>
  <si>
    <t>Rekonsiliasi Q3</t>
  </si>
  <si>
    <t>Cek status 15 Okt; retrospektif</t>
  </si>
  <si>
    <t>Tutup gap / arsip status</t>
  </si>
  <si>
    <t>Jika kategori menengah/besar berlaku, tenggat Q3 adalah 15 Oktober 2026.</t>
  </si>
  <si>
    <t>Arsip bukti kepatuhan</t>
  </si>
  <si>
    <t>Arsip bulanan</t>
  </si>
  <si>
    <t>Arsip + review retrospektif</t>
  </si>
  <si>
    <t>Review kelengkapan akhir tahun</t>
  </si>
  <si>
    <t>Arsipkan versi, review, pembaruan, dan tanda terima bila ada.</t>
  </si>
  <si>
    <t>Persiapan laporan periode berikutnya</t>
  </si>
  <si>
    <t>Mulai daftar data</t>
  </si>
  <si>
    <t>Rekonsiliasi awal / jadwal Jan 2027</t>
  </si>
  <si>
    <t>Tenggat final dikonfirmasi berdasarkan skala usaha.</t>
  </si>
  <si>
    <t>PRIORITAS PENGAWASAN</t>
  </si>
  <si>
    <t>Prioritas bersifat internal, ditentukan dari urgensi dan potensi dampak; bukan peringkat sanksi regulator.</t>
  </si>
  <si>
    <t>Kode</t>
  </si>
  <si>
    <t>Alasan / Dampak</t>
  </si>
  <si>
    <t>PIC</t>
  </si>
  <si>
    <t>Langkah berikutnya</t>
  </si>
  <si>
    <t>Target kontrol</t>
  </si>
  <si>
    <t>P1 — Tinggi</t>
  </si>
  <si>
    <t>Konfirmasi kategori dan kewajiban/tenggat LKPM</t>
  </si>
  <si>
    <t>Risiko laporan wajib terlewat; skala usaha tidak tersedia dalam sumber.</t>
  </si>
  <si>
    <t>Legal Officer + Admin OSS</t>
  </si>
  <si>
    <t>Periksa kategori skala, status proyek, kewajiban, dan bukti periode lalu.</t>
  </si>
  <si>
    <t>Segera / retrospektif untuk tenggat yang telah lewat.</t>
  </si>
  <si>
    <t>Review kesiapan perizinan kegiatan pabrik</t>
  </si>
  <si>
    <t>Operasi aktif perlu selaras dengan izin/standar yang benar-benar berlaku.</t>
  </si>
  <si>
    <t>Legal Officer + Operations Supervisor</t>
  </si>
  <si>
    <t>Bandingkan kondisi pabrik dan keluaran OSS; catat gap dan PIC penutupan.</t>
  </si>
  <si>
    <t>Validasi status Juli dan tindak lanjut.</t>
  </si>
  <si>
    <t>Kajian lokasi gudang tambahan</t>
  </si>
  <si>
    <t>Fasilitas/lokasi baru dapat memengaruhi data proyek atau persyaratan terkait.</t>
  </si>
  <si>
    <t>Periksa perjanjian sewa, lokasi, fungsi aktual, dan kebutuhan pembaruan.</t>
  </si>
  <si>
    <t>Validasi tindakan sejak Agustus.</t>
  </si>
  <si>
    <t>Dokumen internal atau data relevan harus tetap konsisten.</t>
  </si>
  <si>
    <t>HR Officer + Legal Officer</t>
  </si>
  <si>
    <t>Tinjau tanggal efektif, rekaman yang terdampak, dan bukti tindakan.</t>
  </si>
  <si>
    <t>Validasi tindakan sejak September.</t>
  </si>
  <si>
    <t>P2 — Sedang</t>
  </si>
  <si>
    <t>Monitoring OSS dan rekonsiliasi bulanan</t>
  </si>
  <si>
    <t>Kontrol rutin mencegah inkonsistensi dan membangun jejak audit.</t>
  </si>
  <si>
    <t>Admin OSS + Ops Supervisor + HR</t>
  </si>
  <si>
    <t>Jalankan checklist; log temuan, pemilik aksi, dan tanggal tutup.</t>
  </si>
  <si>
    <t>Sekali setiap bulan.</t>
  </si>
  <si>
    <t>Pengarsipan dan penutupan kalender</t>
  </si>
  <si>
    <t>Tanpa bukti, pelaksanaan sulit ditelusuri.</t>
  </si>
  <si>
    <t>Admin Legal + Legal Officer</t>
  </si>
  <si>
    <t>Lengkapi indeks arsip dan tanda terima pelaporan bila ada.</t>
  </si>
  <si>
    <t>Bulanan dan akhir Desember.</t>
  </si>
  <si>
    <t>CATATAN MONITORING INTERNAL</t>
  </si>
  <si>
    <t>Lima kontrol yang dapat dimasukkan ke prosedur kerja. Gunakan sebagai pengingat, bukan pengganti kewajiban legal yang telah diverifikasi.</t>
  </si>
  <si>
    <t>No</t>
  </si>
  <si>
    <t>Catatan Monitoring</t>
  </si>
  <si>
    <t>Bukti / cara kontrol</t>
  </si>
  <si>
    <t>PIC / frekuensi</t>
  </si>
  <si>
    <t>Pemeriksaan bulanan OSS harus memiliki bukti: tanggal pemeriksaan, data yang dibandingkan, temuan, PIC tindak lanjut, dan status penutupan.</t>
  </si>
  <si>
    <t>Checklist pemeriksaan bulanan; catatan perubahan; evidence of closure.</t>
  </si>
  <si>
    <t>Admin OSS; bulanan.</t>
  </si>
  <si>
    <t>Perubahan lokasi/fasilitas atau personel memicu kajian dampak. Jangan menyimpulkan bahwa semua perubahan otomatis mengharuskan perubahan NIB/OSS.</t>
  </si>
  <si>
    <t>Formulir change notice; kajian dampak; bukti pembaruan bila diwajibkan.</t>
  </si>
  <si>
    <t>Legal Officer; segera setelah pemicu perubahan.</t>
  </si>
  <si>
    <t>Jadwal LKPM ditentukan setelah skala usaha dan status proyek dikonfirmasi. Pasal 286 Permeninves/BKPM 5/2025 membedakan periode menurut skala usaha.</t>
  </si>
  <si>
    <t>Bukti skala usaha; kalender tenggat; salinan aturan terkini; tanda terima atau memo tidak berlaku.</t>
  </si>
  <si>
    <t>Legal Officer + Admin OSS; sebelum tiap periode.</t>
  </si>
  <si>
    <t>Rekonsiliasi data investasi, tenaga kerja, perkembangan operasional, dan kendala sebelum laporan direview. Jangan isi angka/status tanpa bukti.</t>
  </si>
  <si>
    <t>Rekonsiliasi lintas fungsi; daftar sumber data; persetujuan reviewer.</t>
  </si>
  <si>
    <t>Operations Supervisor + HR Officer + Admin OSS; bulanan/pra-LKPM.</t>
  </si>
  <si>
    <t>Simpan dokumen sumber, versi yang direview, persetujuan internal, bukti pembaruan, dan tanda terima dalam arsip yang mudah ditelusuri.</t>
  </si>
  <si>
    <t>Indeks arsip terkendali; penamaan file; riwayat versi; receipt.</t>
  </si>
  <si>
    <t>Admin Legal; bulanan dan akhir tahun.</t>
  </si>
  <si>
    <t>REFERENSI, DASAR, DAN BATASAN</t>
  </si>
  <si>
    <t>Bahan tugas berasal dari PDF yang diberikan. Referensi eksternal digunakan untuk verifikasi hukum dan panduan sistem; cek kembali jika ada perubahan regulasi setelah tanggal penyusunan.</t>
  </si>
  <si>
    <t>Sumber</t>
  </si>
  <si>
    <t>Isi relevan</t>
  </si>
  <si>
    <t>URL / lokasi</t>
  </si>
  <si>
    <t>Penggunaan dan batasan</t>
  </si>
  <si>
    <t>Brief Project 8</t>
  </si>
  <si>
    <t>Instruksi, ruang lingkup, kalender Jul–Des 2026, rubrik penilaian.</t>
  </si>
  <si>
    <t>File: Project 8_ Menyusun Kalender Kepatuhan Perizinan dan Monitoring Berkala(2).pdf, hlm. 2–5.</t>
  </si>
  <si>
    <t>Sumber utama untuk kriteria hasil; minta minimal 6 kewajiban, register, kalender, prioritas, dan 5 catatan.</t>
  </si>
  <si>
    <t>Data Internal Project 8</t>
  </si>
  <si>
    <t>Profil perusahaan, NIB/NPWP/Sertifikat Standar, agenda perubahan, monitoring bulanan, PIC.</t>
  </si>
  <si>
    <t>File: Sumber Data Project 8(1).pdf, hlm. 1.</t>
  </si>
  <si>
    <t>Fakta kasus; tidak menyertakan skala, KBLI, lokasi rinci, status laporan, atau bukti realisasi.</t>
  </si>
  <si>
    <t>Contoh Monitoring Kalender</t>
  </si>
  <si>
    <t>Contoh register, draft LKPM Triwulan II pada Juli, pengecekan OSS bulanan, review gudang.</t>
  </si>
  <si>
    <t>File: Contoh Monitoring Kalender untuk Kepatuhan Berkala(1).pdf, hlm. 1–2.</t>
  </si>
  <si>
    <t>Contoh format dan aktivitas; bukan bukti skala usaha atau pelaksanaan aktual.</t>
  </si>
  <si>
    <t>Worksheet Monitoring Kalender</t>
  </si>
  <si>
    <t>Struktur register, kalender Jul–Des, lima catatan.</t>
  </si>
  <si>
    <t>File: Worksheet Monitoring Kalender untuk Kepatuhan Berkala(1).pdf, hlm. 1–2.</t>
  </si>
  <si>
    <t>Digunakan untuk memetakan keluaran yang diharapkan.</t>
  </si>
  <si>
    <t>PP No. 28 Tahun 2025</t>
  </si>
  <si>
    <t>Kerangka Perizinan Berusaha Berbasis Risiko; berlaku sejak 5 Juni 2025; mencabut PP 5/2021.</t>
  </si>
  <si>
    <t>https://peraturan.bpk.go.id/Details/319773/pp-no-28-tahun-2025</t>
  </si>
  <si>
    <t>Referensi aturan utama PBBR yang berlaku.</t>
  </si>
  <si>
    <t>Permeninves/BKPM No. 5 Tahun 2025</t>
  </si>
  <si>
    <t>Pedoman perizinan melalui OSS; Pasal 286 untuk interval/tenggat LKPM.</t>
  </si>
  <si>
    <t>https://jdih.bkpm.go.id/id/document/peraturan-menteri-investasi-dan-hilirisasikepala-badan-koordinasi-penanaman-modal-nomor-5-tahun-2025-tentang-pedoman-dan-tata-cara-penyelenggaraan-perizinan-berusaha-berbasis-risiko-dan-fas</t>
  </si>
  <si>
    <t>Berlaku sejak 2 Oktober 2025; skala kecil semesteran, menengah/besar triwulanan, mikro pada umumnya dikecualikan; pastikan kategori sebelum menerapkan.</t>
  </si>
  <si>
    <t>Panduan OSS LKPM Non-UMK operasional/komersial</t>
  </si>
  <si>
    <t>Alur pelaporan LKPM untuk kegiatan operasional/komersial.</t>
  </si>
  <si>
    <t>https://oss.go.id/id/panduan/635970086345c7d71a8144e4</t>
  </si>
  <si>
    <t>Referensi alur sistem; bukan pengganti pemeriksaan data usaha aktual.</t>
  </si>
  <si>
    <t>Panduan OSS LKPM Non-UMK konstruksi/persiapan</t>
  </si>
  <si>
    <t>Alur LKPM tahap persiapan/konstruksi.</t>
  </si>
  <si>
    <t>https://oss.go.id/id/panduan/635970086345c7d71a8144e3</t>
  </si>
  <si>
    <t>Gunakan hanya jika sesuai dengan status nyata proyek; status kasus perlu diverifikasi.</t>
  </si>
  <si>
    <t>LKPM DECISION CHECK | PER 25 OKTOBER 2026</t>
  </si>
  <si>
    <t>Jangan tetapkan kewajiban atau status terlambat sebelum skala usaha, status proyek, KBLI/proyek OSS dan bukti pelaporan aktual diverifikasi.</t>
  </si>
  <si>
    <t>Kondisi / kategori</t>
  </si>
  <si>
    <t>Periode umum</t>
  </si>
  <si>
    <t>Tenggat terkait</t>
  </si>
  <si>
    <t>Status per 25 Okt 2026</t>
  </si>
  <si>
    <t>Verifikasi wajib</t>
  </si>
  <si>
    <t>Sumber / catatan</t>
  </si>
  <si>
    <t>Mikro</t>
  </si>
  <si>
    <t>Umumnya tidak menyampaikan LKPM; periksa kondisi khusus / pengecualian</t>
  </si>
  <si>
    <t>Jangan tetapkan tanggal tanpa cek aturan dan profil</t>
  </si>
  <si>
    <t>Skala usaha, KBLI, status proyek, dan apakah ada kondisi khusus</t>
  </si>
  <si>
    <t>Permeninves/BKPM No. 5 Tahun 2025 Pasal 286</t>
  </si>
  <si>
    <t>Kecil</t>
  </si>
  <si>
    <t>Semesteran</t>
  </si>
  <si>
    <t>Semester I 2026: 15 Juli 2026; Semester II 2026: 15 Januari 2027</t>
  </si>
  <si>
    <t>Semester I perlu cek retrospektif; Semester II perlu persiapan</t>
  </si>
  <si>
    <t>Bukti skala; data investasi/operasi; tanda terima atau alasan tidak berlaku</t>
  </si>
  <si>
    <t>Tenggat berlaku hanya jika kategori dan kewajiban dikonfirmasi</t>
  </si>
  <si>
    <t>Menengah / besar</t>
  </si>
  <si>
    <t>Triwulanan</t>
  </si>
  <si>
    <t>QIII 2026: 15 Oktober 2026; QIV 2026: 15 Januari 2027</t>
  </si>
  <si>
    <t>QIII perlu cek retrospektif; jangan tandai terlambat tanpa bukti</t>
  </si>
  <si>
    <t>Status proyek/tahap usaha, skala, data QIII, tanda terima/nomor laporan</t>
  </si>
  <si>
    <t>Tenggat 15 Oktober tidak otomatis berlaku untuk semua skala</t>
  </si>
  <si>
    <t>Kategori atau status belum diketahui</t>
  </si>
  <si>
    <t>Belum boleh disimpulkan</t>
  </si>
  <si>
    <t>Belum dapat diterapkan</t>
  </si>
  <si>
    <t>Dapatkan bukti skala, KBLI/proyek dan status pada OSS; cek laporan terdahulu</t>
  </si>
  <si>
    <t>Gunakan status ini sampai verifikasi selesai</t>
  </si>
  <si>
    <t>Sumber resmi: https://jdih.bkpm.go.id/id/document/peraturan-menteri-investasi-dan-hilirisasikepala-badan-koordinasi-penanaman-modal-nomor-5-tahun-2025-tentang-pedoman-dan-tata-cara-penyelenggaraan-perizinan-berusaha-berbasis-risiko-dan-fas</t>
  </si>
  <si>
    <t>Kerangka Perizinan Berusaha Berbasis Risiko: PP No. 28 Tahun 2025 — https://peraturan.bpk.go.id/Details/319773/pp-no-28-tahun-2025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</si>
</sst>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9"/>
      <color rgb="FF20272D"/>
      <name val="Arial"/>
    </font>
    <font>
      <sz val="9"/>
      <color rgb="FF20272D"/>
      <name val="Arial"/>
    </font>
    <font>
      <b/>
      <sz val="15"/>
      <color rgb="FFFFFFFF"/>
      <name val="Arial"/>
    </font>
    <font>
      <i/>
      <sz val="9"/>
      <color rgb="FF5E6973"/>
      <name val="Arial"/>
    </font>
    <font>
      <b/>
      <sz val="8.5"/>
      <color rgb="FFFFFFFF"/>
      <name val="Arial"/>
    </font>
    <font>
      <b/>
      <sz val="16"/>
      <color rgb="FF243746"/>
      <name val="Arial"/>
    </font>
    <font>
      <b/>
      <sz val="9"/>
      <color rgb="FFFFFFFF"/>
      <name val="Arial"/>
    </font>
    <font>
      <sz val="8.8000000000000007"/>
      <color rgb="FF20272D"/>
      <name val="Arial"/>
    </font>
    <font>
      <b/>
      <sz val="9"/>
      <color rgb="FF243746"/>
      <name val="Arial"/>
    </font>
    <font>
      <i/>
      <sz val="8.5"/>
      <color rgb="FF5E6973"/>
      <name val="Arial"/>
    </font>
    <font>
      <b/>
      <sz val="14"/>
      <color rgb="FFFFFFFF"/>
      <name val="Arial"/>
    </font>
    <font>
      <sz val="8.1999999999999993"/>
      <color rgb="FF5E6973"/>
      <name val="Arial"/>
    </font>
    <font>
      <sz val="8.3000000000000007"/>
      <color rgb="FF20272D"/>
      <name val="Arial"/>
    </font>
  </fonts>
  <fills count="7">
    <fill>
      <patternFill patternType="none"/>
    </fill>
    <fill>
      <patternFill patternType="gray125"/>
    </fill>
    <fill>
      <patternFill patternType="solid">
        <fgColor rgb="FFFFFFFF"/>
      </patternFill>
    </fill>
    <fill>
      <patternFill patternType="solid">
        <fgColor rgb="FF243746"/>
      </patternFill>
    </fill>
    <fill>
      <patternFill patternType="solid">
        <fgColor rgb="FFF3F5F7"/>
      </patternFill>
    </fill>
    <fill>
      <patternFill patternType="solid">
        <fgColor rgb="FF263238"/>
      </patternFill>
    </fill>
    <fill>
      <patternFill patternType="solid">
        <fgColor rgb="FFF8F9FA"/>
      </patternFill>
    </fill>
  </fills>
  <borders count="13">
    <border>
      <left/>
      <right/>
      <top/>
      <bottom/>
      <diagonal/>
    </border>
    <border>
      <left/>
      <right/>
      <top/>
      <bottom/>
      <diagonal/>
    </border>
    <border>
      <left style="thin">
        <color rgb="FFC8D0D6"/>
      </left>
      <right/>
      <top style="thin">
        <color rgb="FFC8D0D6"/>
      </top>
      <bottom style="thin">
        <color rgb="FFC8D0D6"/>
      </bottom>
      <diagonal/>
    </border>
    <border>
      <left/>
      <right/>
      <top style="thin">
        <color rgb="FFC8D0D6"/>
      </top>
      <bottom style="thin">
        <color rgb="FFC8D0D6"/>
      </bottom>
      <diagonal/>
    </border>
    <border>
      <left/>
      <right style="thin">
        <color rgb="FFC8D0D6"/>
      </right>
      <top style="thin">
        <color rgb="FFC8D0D6"/>
      </top>
      <bottom style="thin">
        <color rgb="FFC8D0D6"/>
      </bottom>
      <diagonal/>
    </border>
    <border>
      <left style="thin">
        <color rgb="FFC8D0D6"/>
      </left>
      <right/>
      <top style="thin">
        <color rgb="FFC8D0D6"/>
      </top>
      <bottom/>
      <diagonal/>
    </border>
    <border>
      <left/>
      <right/>
      <top style="thin">
        <color rgb="FFC8D0D6"/>
      </top>
      <bottom/>
      <diagonal/>
    </border>
    <border>
      <left/>
      <right style="thin">
        <color rgb="FFC8D0D6"/>
      </right>
      <top style="thin">
        <color rgb="FFC8D0D6"/>
      </top>
      <bottom/>
      <diagonal/>
    </border>
    <border>
      <left style="thin">
        <color rgb="FFC8D0D6"/>
      </left>
      <right/>
      <top/>
      <bottom/>
      <diagonal/>
    </border>
    <border>
      <left/>
      <right style="thin">
        <color rgb="FFC8D0D6"/>
      </right>
      <top/>
      <bottom/>
      <diagonal/>
    </border>
    <border>
      <left style="thin">
        <color rgb="FFC8D0D6"/>
      </left>
      <right/>
      <top/>
      <bottom style="thin">
        <color rgb="FFC8D0D6"/>
      </bottom>
      <diagonal/>
    </border>
    <border>
      <left/>
      <right/>
      <top/>
      <bottom style="thin">
        <color rgb="FFC8D0D6"/>
      </bottom>
      <diagonal/>
    </border>
    <border>
      <left/>
      <right style="thin">
        <color rgb="FFC8D0D6"/>
      </right>
      <top/>
      <bottom style="thin">
        <color rgb="FFC8D0D6"/>
      </bottom>
      <diagonal/>
    </border>
  </borders>
  <cellStyleXfs count="1">
    <xf numFmtId="0" fontId="0" fillId="0" borderId="0"/>
  </cellStyleXfs>
  <cellXfs count="55">
    <xf numFmtId="0" fontId="0" fillId="0" borderId="0" xfId="0"/>
    <xf numFmtId="0" fontId="5" fillId="5" borderId="2" xfId="0" applyNumberFormat="1" applyFont="1" applyFill="1" applyBorder="1" applyAlignment="1">
      <alignment horizontal="center" vertical="center" wrapText="1"/>
    </xf>
    <xf numFmtId="0" fontId="5" fillId="5" borderId="3" xfId="0" applyNumberFormat="1" applyFont="1" applyFill="1" applyBorder="1" applyAlignment="1">
      <alignment horizontal="center" vertical="center" wrapText="1"/>
    </xf>
    <xf numFmtId="0" fontId="5" fillId="5" borderId="4" xfId="0" applyNumberFormat="1" applyFont="1" applyFill="1" applyBorder="1" applyAlignment="1">
      <alignment horizontal="center" vertical="center" wrapText="1"/>
    </xf>
    <xf numFmtId="0" fontId="2" fillId="2" borderId="2" xfId="0" applyNumberFormat="1" applyFont="1" applyFill="1" applyBorder="1" applyAlignment="1">
      <alignment horizontal="left" vertical="top" wrapText="1"/>
    </xf>
    <xf numFmtId="0" fontId="2" fillId="2" borderId="3" xfId="0" applyNumberFormat="1" applyFont="1" applyFill="1" applyBorder="1" applyAlignment="1">
      <alignment horizontal="left" vertical="top" wrapText="1"/>
    </xf>
    <xf numFmtId="0" fontId="2" fillId="2" borderId="4" xfId="0" applyNumberFormat="1" applyFont="1" applyFill="1" applyBorder="1" applyAlignment="1">
      <alignment horizontal="left" vertical="top" wrapText="1"/>
    </xf>
    <xf numFmtId="0" fontId="2" fillId="6" borderId="2" xfId="0" applyNumberFormat="1" applyFont="1" applyFill="1" applyBorder="1" applyAlignment="1">
      <alignment horizontal="left" vertical="top" wrapText="1"/>
    </xf>
    <xf numFmtId="0" fontId="2" fillId="6" borderId="3" xfId="0" applyNumberFormat="1" applyFont="1" applyFill="1" applyBorder="1" applyAlignment="1">
      <alignment horizontal="left" vertical="top" wrapText="1"/>
    </xf>
    <xf numFmtId="0" fontId="2" fillId="6" borderId="4" xfId="0" applyNumberFormat="1" applyFont="1" applyFill="1" applyBorder="1" applyAlignment="1">
      <alignment horizontal="left" vertical="top" wrapText="1"/>
    </xf>
    <xf numFmtId="0" fontId="13" fillId="2" borderId="3" xfId="0" applyNumberFormat="1" applyFont="1" applyFill="1" applyBorder="1" applyAlignment="1">
      <alignment horizontal="center" vertical="top" wrapText="1"/>
    </xf>
    <xf numFmtId="0" fontId="13" fillId="6" borderId="3" xfId="0" applyNumberFormat="1" applyFont="1" applyFill="1" applyBorder="1" applyAlignment="1">
      <alignment horizontal="center" vertical="top" wrapText="1"/>
    </xf>
    <xf numFmtId="0" fontId="5" fillId="5" borderId="3" xfId="0" applyNumberFormat="1" applyFont="1" applyFill="1" applyBorder="1" applyAlignment="1">
      <alignment horizontal="center" vertical="center" wrapText="1"/>
    </xf>
    <xf numFmtId="0" fontId="5" fillId="5" borderId="4" xfId="0" applyNumberFormat="1" applyFont="1" applyFill="1" applyBorder="1" applyAlignment="1">
      <alignment horizontal="center" vertical="center" wrapText="1"/>
    </xf>
    <xf numFmtId="0" fontId="6" fillId="4" borderId="3" xfId="0" applyNumberFormat="1" applyFont="1" applyFill="1" applyBorder="1" applyAlignment="1">
      <alignment horizontal="center" vertical="center" wrapText="1"/>
    </xf>
    <xf numFmtId="0" fontId="6" fillId="4" borderId="4" xfId="0" applyNumberFormat="1" applyFont="1" applyFill="1" applyBorder="1" applyAlignment="1">
      <alignment horizontal="center" vertical="center" wrapText="1"/>
    </xf>
    <xf numFmtId="0" fontId="5" fillId="5" borderId="2" xfId="0" applyNumberFormat="1" applyFont="1" applyFill="1" applyBorder="1" applyAlignment="1">
      <alignment horizontal="center" vertical="center" wrapText="1"/>
    </xf>
    <xf numFmtId="0" fontId="6" fillId="4" borderId="2" xfId="0" applyNumberFormat="1" applyFont="1" applyFill="1" applyBorder="1" applyAlignment="1">
      <alignment horizontal="center" vertical="center" wrapText="1"/>
    </xf>
    <xf numFmtId="0" fontId="8" fillId="2" borderId="5" xfId="0" applyNumberFormat="1" applyFont="1" applyFill="1" applyBorder="1" applyAlignment="1">
      <alignment horizontal="left" vertical="center" wrapText="1"/>
    </xf>
    <xf numFmtId="0" fontId="8" fillId="2" borderId="6" xfId="0" applyNumberFormat="1" applyFont="1" applyFill="1" applyBorder="1" applyAlignment="1">
      <alignment horizontal="left" vertical="center" wrapText="1"/>
    </xf>
    <xf numFmtId="0" fontId="8" fillId="2" borderId="7" xfId="0" applyNumberFormat="1" applyFont="1" applyFill="1" applyBorder="1" applyAlignment="1">
      <alignment horizontal="left" vertical="center" wrapText="1"/>
    </xf>
    <xf numFmtId="0" fontId="8" fillId="6" borderId="8" xfId="0" applyNumberFormat="1" applyFont="1" applyFill="1" applyBorder="1" applyAlignment="1">
      <alignment horizontal="left" vertical="center" wrapText="1"/>
    </xf>
    <xf numFmtId="0" fontId="8" fillId="6" borderId="0" xfId="0" applyNumberFormat="1" applyFont="1" applyFill="1" applyAlignment="1">
      <alignment horizontal="left" vertical="center" wrapText="1"/>
    </xf>
    <xf numFmtId="0" fontId="8" fillId="6" borderId="9" xfId="0" applyNumberFormat="1" applyFont="1" applyFill="1" applyBorder="1" applyAlignment="1">
      <alignment horizontal="left" vertical="center" wrapText="1"/>
    </xf>
    <xf numFmtId="0" fontId="8" fillId="2" borderId="8" xfId="0" applyNumberFormat="1" applyFont="1" applyFill="1" applyBorder="1" applyAlignment="1">
      <alignment horizontal="left" vertical="center" wrapText="1"/>
    </xf>
    <xf numFmtId="0" fontId="8" fillId="2" borderId="0" xfId="0" applyNumberFormat="1" applyFont="1" applyFill="1" applyAlignment="1">
      <alignment horizontal="left" vertical="center" wrapText="1"/>
    </xf>
    <xf numFmtId="0" fontId="8" fillId="2" borderId="9" xfId="0" applyNumberFormat="1" applyFont="1" applyFill="1" applyBorder="1" applyAlignment="1">
      <alignment horizontal="left" vertical="center" wrapText="1"/>
    </xf>
    <xf numFmtId="0" fontId="8" fillId="6" borderId="10" xfId="0" applyNumberFormat="1" applyFont="1" applyFill="1" applyBorder="1" applyAlignment="1">
      <alignment horizontal="left" vertical="center" wrapText="1"/>
    </xf>
    <xf numFmtId="0" fontId="8" fillId="6" borderId="11" xfId="0" applyNumberFormat="1" applyFont="1" applyFill="1" applyBorder="1" applyAlignment="1">
      <alignment horizontal="left" vertical="center" wrapText="1"/>
    </xf>
    <xf numFmtId="0" fontId="8" fillId="6" borderId="12" xfId="0" applyNumberFormat="1" applyFont="1" applyFill="1" applyBorder="1" applyAlignment="1">
      <alignment horizontal="left" vertical="center" wrapText="1"/>
    </xf>
    <xf numFmtId="0" fontId="9" fillId="4" borderId="2" xfId="0" applyNumberFormat="1" applyFont="1" applyFill="1" applyBorder="1" applyAlignment="1">
      <alignment horizontal="left" vertical="center" wrapText="1"/>
    </xf>
    <xf numFmtId="0" fontId="9" fillId="4" borderId="3" xfId="0" applyNumberFormat="1" applyFont="1" applyFill="1" applyBorder="1" applyAlignment="1">
      <alignment horizontal="left" vertical="center" wrapText="1"/>
    </xf>
    <xf numFmtId="0" fontId="9" fillId="4" borderId="4" xfId="0" applyNumberFormat="1" applyFont="1" applyFill="1" applyBorder="1" applyAlignment="1">
      <alignment horizontal="left" vertical="center" wrapText="1"/>
    </xf>
    <xf numFmtId="0" fontId="8" fillId="6" borderId="2" xfId="0" applyNumberFormat="1" applyFont="1" applyFill="1" applyBorder="1" applyAlignment="1">
      <alignment horizontal="left" vertical="center" wrapText="1"/>
    </xf>
    <xf numFmtId="0" fontId="8" fillId="6" borderId="3" xfId="0" applyNumberFormat="1" applyFont="1" applyFill="1" applyBorder="1" applyAlignment="1">
      <alignment horizontal="left" vertical="center" wrapText="1"/>
    </xf>
    <xf numFmtId="0" fontId="8" fillId="6" borderId="4" xfId="0" applyNumberFormat="1" applyFont="1" applyFill="1" applyBorder="1" applyAlignment="1">
      <alignment horizontal="left" vertical="center" wrapText="1"/>
    </xf>
    <xf numFmtId="0" fontId="8" fillId="4" borderId="2" xfId="0" applyNumberFormat="1" applyFont="1" applyFill="1" applyBorder="1" applyAlignment="1">
      <alignment horizontal="left" vertical="center" wrapText="1"/>
    </xf>
    <xf numFmtId="0" fontId="8" fillId="4" borderId="3" xfId="0" applyNumberFormat="1" applyFont="1" applyFill="1" applyBorder="1" applyAlignment="1">
      <alignment horizontal="left" vertical="center" wrapText="1"/>
    </xf>
    <xf numFmtId="0" fontId="8" fillId="4" borderId="4" xfId="0" applyNumberFormat="1" applyFont="1" applyFill="1" applyBorder="1" applyAlignment="1">
      <alignment horizontal="left" vertical="center" wrapText="1"/>
    </xf>
    <xf numFmtId="0" fontId="10" fillId="6" borderId="2" xfId="0" applyNumberFormat="1" applyFont="1" applyFill="1" applyBorder="1" applyAlignment="1">
      <alignment horizontal="left" vertical="center" wrapText="1"/>
    </xf>
    <xf numFmtId="0" fontId="10" fillId="6" borderId="3" xfId="0" applyNumberFormat="1" applyFont="1" applyFill="1" applyBorder="1" applyAlignment="1">
      <alignment horizontal="left" vertical="center" wrapText="1"/>
    </xf>
    <xf numFmtId="0" fontId="10" fillId="6" borderId="4" xfId="0" applyNumberFormat="1" applyFont="1" applyFill="1" applyBorder="1" applyAlignment="1">
      <alignment horizontal="left" vertical="center" wrapText="1"/>
    </xf>
    <xf numFmtId="0" fontId="12" fillId="4" borderId="5" xfId="0" applyNumberFormat="1" applyFont="1" applyFill="1" applyBorder="1" applyAlignment="1">
      <alignment horizontal="left" vertical="center" wrapText="1"/>
    </xf>
    <xf numFmtId="0" fontId="12" fillId="4" borderId="6" xfId="0" applyNumberFormat="1" applyFont="1" applyFill="1" applyBorder="1" applyAlignment="1">
      <alignment horizontal="left" vertical="center" wrapText="1"/>
    </xf>
    <xf numFmtId="0" fontId="12" fillId="4" borderId="7" xfId="0" applyNumberFormat="1" applyFont="1" applyFill="1" applyBorder="1" applyAlignment="1">
      <alignment horizontal="left" vertical="center" wrapText="1"/>
    </xf>
    <xf numFmtId="0" fontId="12" fillId="4" borderId="10" xfId="0" applyNumberFormat="1" applyFont="1" applyFill="1" applyBorder="1" applyAlignment="1">
      <alignment horizontal="left" vertical="center" wrapText="1"/>
    </xf>
    <xf numFmtId="0" fontId="12" fillId="4" borderId="11" xfId="0" applyNumberFormat="1" applyFont="1" applyFill="1" applyBorder="1" applyAlignment="1">
      <alignment horizontal="left" vertical="center" wrapText="1"/>
    </xf>
    <xf numFmtId="0" fontId="12" fillId="4" borderId="12" xfId="0" applyNumberFormat="1" applyFont="1" applyFill="1" applyBorder="1" applyAlignment="1">
      <alignment horizontal="left" vertical="center" wrapText="1"/>
    </xf>
    <xf numFmtId="0" fontId="3" fillId="3" borderId="1" xfId="0" applyNumberFormat="1" applyFont="1" applyFill="1" applyBorder="1" applyAlignment="1">
      <alignment horizontal="left" vertical="center" wrapText="1"/>
    </xf>
    <xf numFmtId="0" fontId="4" fillId="4" borderId="1" xfId="0" applyNumberFormat="1" applyFont="1" applyFill="1" applyBorder="1" applyAlignment="1">
      <alignment horizontal="left" vertical="center" wrapText="1"/>
    </xf>
    <xf numFmtId="0" fontId="2" fillId="2" borderId="1" xfId="0" applyNumberFormat="1" applyFont="1" applyFill="1" applyBorder="1" applyAlignment="1">
      <alignment horizontal="left" vertical="center" wrapText="1"/>
    </xf>
    <xf numFmtId="0" fontId="7" fillId="5"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11" fillId="3" borderId="1" xfId="0" applyNumberFormat="1" applyFont="1" applyFill="1" applyBorder="1" applyAlignment="1">
      <alignment horizontal="left" vertical="center" wrapText="1"/>
    </xf>
    <xf numFmtId="0" fontId="2" fillId="2" borderId="1" xfId="0" applyNumberFormat="1" applyFont="1" applyFill="1" applyBorder="1" applyAlignment="1">
      <alignment horizontal="left" vertical="top" wrapText="1"/>
    </xf>
  </cellXfs>
  <cellStyles count="1">
    <cellStyle name="Normal" xfId="0" builtinId="0"/>
  </cellStyles>
  <dxfs count="3">
    <dxf>
      <font>
        <b/>
      </font>
      <fill>
        <patternFill>
          <bgColor rgb="FFFFF1CC"/>
        </patternFill>
      </fill>
    </dxf>
    <dxf>
      <font>
        <b/>
      </font>
      <fill>
        <patternFill>
          <bgColor rgb="FFFFF1CC"/>
        </patternFill>
      </fill>
    </dxf>
    <dxf>
      <font>
        <b/>
        <color rgb="FF9C1C1C"/>
      </font>
      <fill>
        <patternFill>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sterKepatuhan" displayName="RegisterKepatuhan" ref="A4:L14" totalsRowShown="0">
  <tableColumns count="12">
    <tableColumn id="1" xr3:uid="{00000000-0010-0000-0000-000001000000}" name="ID"/>
    <tableColumn id="2" xr3:uid="{00000000-0010-0000-0000-000002000000}" name="Kewajiban / Aktivitas"/>
    <tableColumn id="3" xr3:uid="{00000000-0010-0000-0000-000003000000}" name="Jenis"/>
    <tableColumn id="4" xr3:uid="{00000000-0010-0000-0000-000004000000}" name="Dasar / Pemicu"/>
    <tableColumn id="5" xr3:uid="{00000000-0010-0000-0000-000005000000}" name="Waktu / Frekuensi"/>
    <tableColumn id="6" xr3:uid="{00000000-0010-0000-0000-000006000000}" name="PIC Utama"/>
    <tableColumn id="7" xr3:uid="{00000000-0010-0000-0000-000007000000}" name="PIC Pendukung"/>
    <tableColumn id="8" xr3:uid="{00000000-0010-0000-0000-000008000000}" name="Dokumen / Bukti"/>
    <tableColumn id="9" xr3:uid="{00000000-0010-0000-0000-000009000000}" name="Risiko Jika Terlewat"/>
    <tableColumn id="10" xr3:uid="{00000000-0010-0000-0000-00000A000000}" name="Prioritas"/>
    <tableColumn id="11" xr3:uid="{00000000-0010-0000-0000-00000B000000}" name="Status"/>
    <tableColumn id="12" xr3:uid="{00000000-0010-0000-0000-00000C000000}" name="Sumber / Catata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workbookViewId="0">
      <pane ySplit="2" topLeftCell="A15" activePane="bottomLeft" state="frozen"/>
      <selection pane="bottomLeft" activeCell="A18" sqref="A18:H18"/>
    </sheetView>
  </sheetViews>
  <sheetFormatPr defaultRowHeight="15"/>
  <cols>
    <col min="1" max="8" width="15" customWidth="1"/>
  </cols>
  <sheetData>
    <row r="1" spans="1:8" ht="32.1" customHeight="1">
      <c r="A1" s="48" t="s">
        <v>0</v>
      </c>
      <c r="B1" s="48"/>
      <c r="C1" s="48"/>
      <c r="D1" s="48"/>
      <c r="E1" s="48"/>
      <c r="F1" s="48"/>
      <c r="G1" s="48"/>
      <c r="H1" s="48"/>
    </row>
    <row r="2" spans="1:8" ht="42" customHeight="1">
      <c r="A2" s="49" t="s">
        <v>1</v>
      </c>
      <c r="B2" s="49"/>
      <c r="C2" s="49"/>
      <c r="D2" s="49"/>
      <c r="E2" s="49"/>
      <c r="F2" s="49"/>
      <c r="G2" s="49"/>
      <c r="H2" s="49"/>
    </row>
    <row r="3" spans="1:8" ht="9" customHeight="1">
      <c r="A3" s="50"/>
      <c r="B3" s="50"/>
      <c r="C3" s="50"/>
      <c r="D3" s="50"/>
      <c r="E3" s="50"/>
      <c r="F3" s="50"/>
      <c r="G3" s="50"/>
      <c r="H3" s="50"/>
    </row>
    <row r="4" spans="1:8" ht="30.95" customHeight="1">
      <c r="A4" s="16" t="s">
        <v>2</v>
      </c>
      <c r="B4" s="12"/>
      <c r="C4" s="12" t="s">
        <v>3</v>
      </c>
      <c r="D4" s="12"/>
      <c r="E4" s="12" t="s">
        <v>4</v>
      </c>
      <c r="F4" s="12"/>
      <c r="G4" s="12" t="s">
        <v>5</v>
      </c>
      <c r="H4" s="13"/>
    </row>
    <row r="5" spans="1:8" ht="39.950000000000003" customHeight="1">
      <c r="A5" s="17">
        <f>COUNTA(Register!A5:A14)</f>
        <v>10</v>
      </c>
      <c r="B5" s="14"/>
      <c r="C5" s="14">
        <f>COUNTIF(Register!J5:J14,"Tinggi")</f>
        <v>9</v>
      </c>
      <c r="D5" s="14"/>
      <c r="E5" s="14">
        <f>COUNTIF(Register!C5:C14,"Rutin")</f>
        <v>3</v>
      </c>
      <c r="F5" s="14"/>
      <c r="G5" s="14">
        <f>COUNTIF(Register!K5:K14,"Belum dikonfirmasi")+COUNTIF(Register!K5:K14,"Perlu verifikasi")</f>
        <v>10</v>
      </c>
      <c r="H5" s="15"/>
    </row>
    <row r="6" spans="1:8" ht="9.9499999999999993" customHeight="1">
      <c r="A6" s="50"/>
      <c r="B6" s="50"/>
      <c r="C6" s="50"/>
      <c r="D6" s="50"/>
      <c r="E6" s="50"/>
      <c r="F6" s="50"/>
      <c r="G6" s="50"/>
      <c r="H6" s="50"/>
    </row>
    <row r="7" spans="1:8" ht="27.95" customHeight="1">
      <c r="A7" s="51" t="s">
        <v>6</v>
      </c>
      <c r="B7" s="51"/>
      <c r="C7" s="51"/>
      <c r="D7" s="51"/>
      <c r="E7" s="51" t="s">
        <v>7</v>
      </c>
      <c r="F7" s="51"/>
      <c r="G7" s="51"/>
      <c r="H7" s="51"/>
    </row>
    <row r="8" spans="1:8" ht="35.1" customHeight="1">
      <c r="A8" s="18" t="s">
        <v>8</v>
      </c>
      <c r="B8" s="19"/>
      <c r="C8" s="19"/>
      <c r="D8" s="19"/>
      <c r="E8" s="19" t="s">
        <v>9</v>
      </c>
      <c r="F8" s="19"/>
      <c r="G8" s="19"/>
      <c r="H8" s="20"/>
    </row>
    <row r="9" spans="1:8" ht="35.1" customHeight="1">
      <c r="A9" s="21" t="s">
        <v>10</v>
      </c>
      <c r="B9" s="22"/>
      <c r="C9" s="22"/>
      <c r="D9" s="22"/>
      <c r="E9" s="22" t="s">
        <v>11</v>
      </c>
      <c r="F9" s="22"/>
      <c r="G9" s="22"/>
      <c r="H9" s="23"/>
    </row>
    <row r="10" spans="1:8" ht="35.1" customHeight="1">
      <c r="A10" s="24" t="s">
        <v>12</v>
      </c>
      <c r="B10" s="25"/>
      <c r="C10" s="25"/>
      <c r="D10" s="25"/>
      <c r="E10" s="25" t="s">
        <v>13</v>
      </c>
      <c r="F10" s="25"/>
      <c r="G10" s="25"/>
      <c r="H10" s="26"/>
    </row>
    <row r="11" spans="1:8" ht="35.1" customHeight="1">
      <c r="A11" s="21" t="s">
        <v>14</v>
      </c>
      <c r="B11" s="22"/>
      <c r="C11" s="22"/>
      <c r="D11" s="22"/>
      <c r="E11" s="22" t="s">
        <v>15</v>
      </c>
      <c r="F11" s="22"/>
      <c r="G11" s="22"/>
      <c r="H11" s="23"/>
    </row>
    <row r="12" spans="1:8" ht="35.1" customHeight="1">
      <c r="A12" s="24" t="s">
        <v>16</v>
      </c>
      <c r="B12" s="25"/>
      <c r="C12" s="25"/>
      <c r="D12" s="25"/>
      <c r="E12" s="25" t="s">
        <v>17</v>
      </c>
      <c r="F12" s="25"/>
      <c r="G12" s="25"/>
      <c r="H12" s="26"/>
    </row>
    <row r="13" spans="1:8" ht="35.1" customHeight="1">
      <c r="A13" s="27" t="s">
        <v>18</v>
      </c>
      <c r="B13" s="28"/>
      <c r="C13" s="28"/>
      <c r="D13" s="28"/>
      <c r="E13" s="28" t="s">
        <v>19</v>
      </c>
      <c r="F13" s="28"/>
      <c r="G13" s="28"/>
      <c r="H13" s="29"/>
    </row>
    <row r="14" spans="1:8">
      <c r="A14" s="50"/>
      <c r="B14" s="50"/>
      <c r="C14" s="50"/>
      <c r="D14" s="50"/>
      <c r="E14" s="50"/>
      <c r="F14" s="50"/>
      <c r="G14" s="50"/>
      <c r="H14" s="50"/>
    </row>
    <row r="15" spans="1:8" ht="32.1" customHeight="1">
      <c r="A15" s="30" t="s">
        <v>20</v>
      </c>
      <c r="B15" s="31"/>
      <c r="C15" s="31"/>
      <c r="D15" s="31"/>
      <c r="E15" s="31"/>
      <c r="F15" s="31"/>
      <c r="G15" s="31"/>
      <c r="H15" s="32"/>
    </row>
    <row r="16" spans="1:8" ht="62.1" customHeight="1">
      <c r="A16" s="33" t="s">
        <v>21</v>
      </c>
      <c r="B16" s="34"/>
      <c r="C16" s="34"/>
      <c r="D16" s="34"/>
      <c r="E16" s="34"/>
      <c r="F16" s="34"/>
      <c r="G16" s="34"/>
      <c r="H16" s="35"/>
    </row>
    <row r="17" spans="1:8" ht="8.1" customHeight="1">
      <c r="A17" s="50"/>
      <c r="B17" s="50"/>
      <c r="C17" s="50"/>
      <c r="D17" s="50"/>
      <c r="E17" s="50"/>
      <c r="F17" s="50"/>
      <c r="G17" s="50"/>
      <c r="H17" s="50"/>
    </row>
    <row r="18" spans="1:8" ht="57.95" customHeight="1">
      <c r="A18" s="36" t="s">
        <v>22</v>
      </c>
      <c r="B18" s="37"/>
      <c r="C18" s="37"/>
      <c r="D18" s="37"/>
      <c r="E18" s="37"/>
      <c r="F18" s="37"/>
      <c r="G18" s="37"/>
      <c r="H18" s="38"/>
    </row>
    <row r="19" spans="1:8" ht="8.1" customHeight="1">
      <c r="A19" s="50"/>
      <c r="B19" s="50"/>
      <c r="C19" s="50"/>
      <c r="D19" s="50"/>
      <c r="E19" s="50"/>
      <c r="F19" s="50"/>
      <c r="G19" s="50"/>
      <c r="H19" s="50"/>
    </row>
    <row r="20" spans="1:8" ht="8.1" customHeight="1">
      <c r="A20" s="52"/>
      <c r="B20" s="52"/>
      <c r="C20" s="52"/>
      <c r="D20" s="52"/>
      <c r="E20" s="52"/>
      <c r="F20" s="52"/>
      <c r="G20" s="52"/>
      <c r="H20" s="52"/>
    </row>
    <row r="21" spans="1:8" ht="8.1" customHeight="1">
      <c r="A21" s="52"/>
      <c r="B21" s="52"/>
      <c r="C21" s="52"/>
      <c r="D21" s="52"/>
      <c r="E21" s="52"/>
      <c r="F21" s="52"/>
      <c r="G21" s="52"/>
      <c r="H21" s="52"/>
    </row>
    <row r="22" spans="1:8" ht="8.1" customHeight="1">
      <c r="A22" s="52"/>
      <c r="B22" s="52"/>
      <c r="C22" s="52"/>
      <c r="D22" s="52"/>
      <c r="E22" s="52"/>
      <c r="F22" s="52"/>
      <c r="G22" s="52"/>
      <c r="H22" s="52"/>
    </row>
    <row r="23" spans="1:8" ht="8.1" customHeight="1">
      <c r="A23" s="50"/>
      <c r="B23" s="50"/>
      <c r="C23" s="50"/>
      <c r="D23" s="50"/>
      <c r="E23" s="50"/>
      <c r="F23" s="50"/>
      <c r="G23" s="50"/>
      <c r="H23" s="50"/>
    </row>
    <row r="24" spans="1:8" ht="36" customHeight="1">
      <c r="A24" s="39" t="s">
        <v>23</v>
      </c>
      <c r="B24" s="40"/>
      <c r="C24" s="40"/>
      <c r="D24" s="40"/>
      <c r="E24" s="40"/>
      <c r="F24" s="40"/>
      <c r="G24" s="40"/>
      <c r="H24" s="41"/>
    </row>
  </sheetData>
  <mergeCells count="29">
    <mergeCell ref="A16:H16"/>
    <mergeCell ref="A18:H18"/>
    <mergeCell ref="A24:H24"/>
    <mergeCell ref="A12:D12"/>
    <mergeCell ref="E12:H12"/>
    <mergeCell ref="A13:D13"/>
    <mergeCell ref="E13:H13"/>
    <mergeCell ref="A15:H15"/>
    <mergeCell ref="E9:H9"/>
    <mergeCell ref="A10:D10"/>
    <mergeCell ref="E10:H10"/>
    <mergeCell ref="A11:D11"/>
    <mergeCell ref="E11:H11"/>
    <mergeCell ref="G4:H4"/>
    <mergeCell ref="G5:H5"/>
    <mergeCell ref="A20:H22"/>
    <mergeCell ref="A1:H1"/>
    <mergeCell ref="A2:H2"/>
    <mergeCell ref="A4:B4"/>
    <mergeCell ref="C4:D4"/>
    <mergeCell ref="E4:F4"/>
    <mergeCell ref="A5:B5"/>
    <mergeCell ref="C5:D5"/>
    <mergeCell ref="E5:F5"/>
    <mergeCell ref="A7:D7"/>
    <mergeCell ref="E7:H7"/>
    <mergeCell ref="A8:D8"/>
    <mergeCell ref="E8:H8"/>
    <mergeCell ref="A9: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
  <sheetViews>
    <sheetView workbookViewId="0">
      <pane ySplit="4" topLeftCell="A5" activePane="bottomLeft" state="frozen"/>
      <selection pane="bottomLeft"/>
    </sheetView>
  </sheetViews>
  <sheetFormatPr defaultRowHeight="15"/>
  <cols>
    <col min="1" max="1" width="6" customWidth="1"/>
    <col min="2" max="2" width="31" customWidth="1"/>
    <col min="3" max="3" width="13" customWidth="1"/>
    <col min="4" max="4" width="32" customWidth="1"/>
    <col min="5" max="5" width="25" customWidth="1"/>
    <col min="6" max="6" width="16" customWidth="1"/>
    <col min="7" max="7" width="22" customWidth="1"/>
    <col min="8" max="8" width="31" customWidth="1"/>
    <col min="9" max="9" width="33" customWidth="1"/>
    <col min="10" max="10" width="12" customWidth="1"/>
    <col min="11" max="11" width="18" customWidth="1"/>
    <col min="12" max="12" width="39" customWidth="1"/>
  </cols>
  <sheetData>
    <row r="1" spans="1:12" ht="30" customHeight="1">
      <c r="A1" s="53" t="s">
        <v>24</v>
      </c>
      <c r="B1" s="53"/>
      <c r="C1" s="53"/>
      <c r="D1" s="53"/>
      <c r="E1" s="53"/>
      <c r="F1" s="53"/>
      <c r="G1" s="53"/>
      <c r="H1" s="53"/>
      <c r="I1" s="53"/>
      <c r="J1" s="53"/>
      <c r="K1" s="53"/>
      <c r="L1" s="53"/>
    </row>
    <row r="2" spans="1:12" ht="35.1" customHeight="1">
      <c r="A2" s="49" t="s">
        <v>25</v>
      </c>
      <c r="B2" s="49"/>
      <c r="C2" s="49"/>
      <c r="D2" s="49"/>
      <c r="E2" s="49"/>
      <c r="F2" s="49"/>
      <c r="G2" s="49"/>
      <c r="H2" s="49"/>
      <c r="I2" s="49"/>
      <c r="J2" s="49"/>
      <c r="K2" s="49"/>
      <c r="L2" s="49"/>
    </row>
    <row r="3" spans="1:12" ht="8.1" customHeight="1">
      <c r="A3" s="54"/>
      <c r="B3" s="54"/>
      <c r="C3" s="54"/>
      <c r="D3" s="54"/>
      <c r="E3" s="54"/>
      <c r="F3" s="54"/>
      <c r="G3" s="54"/>
      <c r="H3" s="54"/>
      <c r="I3" s="54"/>
      <c r="J3" s="54"/>
      <c r="K3" s="54"/>
      <c r="L3" s="54"/>
    </row>
    <row r="4" spans="1:12" ht="39.950000000000003" customHeight="1">
      <c r="A4" s="1" t="s">
        <v>26</v>
      </c>
      <c r="B4" s="2" t="s">
        <v>27</v>
      </c>
      <c r="C4" s="2" t="s">
        <v>28</v>
      </c>
      <c r="D4" s="2" t="s">
        <v>29</v>
      </c>
      <c r="E4" s="2" t="s">
        <v>30</v>
      </c>
      <c r="F4" s="2" t="s">
        <v>31</v>
      </c>
      <c r="G4" s="2" t="s">
        <v>32</v>
      </c>
      <c r="H4" s="2" t="s">
        <v>33</v>
      </c>
      <c r="I4" s="2" t="s">
        <v>34</v>
      </c>
      <c r="J4" s="2" t="s">
        <v>35</v>
      </c>
      <c r="K4" s="2" t="s">
        <v>36</v>
      </c>
      <c r="L4" s="3" t="s">
        <v>37</v>
      </c>
    </row>
    <row r="5" spans="1:12" ht="66" customHeight="1">
      <c r="A5" s="4">
        <v>1</v>
      </c>
      <c r="B5" s="5" t="s">
        <v>38</v>
      </c>
      <c r="C5" s="5" t="s">
        <v>39</v>
      </c>
      <c r="D5" s="5" t="s">
        <v>40</v>
      </c>
      <c r="E5" s="5" t="s">
        <v>41</v>
      </c>
      <c r="F5" s="5" t="s">
        <v>42</v>
      </c>
      <c r="G5" s="5" t="s">
        <v>43</v>
      </c>
      <c r="H5" s="5" t="s">
        <v>44</v>
      </c>
      <c r="I5" s="5" t="s">
        <v>45</v>
      </c>
      <c r="J5" s="10" t="s">
        <v>46</v>
      </c>
      <c r="K5" s="10" t="s">
        <v>47</v>
      </c>
      <c r="L5" s="6" t="s">
        <v>48</v>
      </c>
    </row>
    <row r="6" spans="1:12" ht="66" customHeight="1">
      <c r="A6" s="7">
        <v>2</v>
      </c>
      <c r="B6" s="8" t="s">
        <v>49</v>
      </c>
      <c r="C6" s="8" t="s">
        <v>50</v>
      </c>
      <c r="D6" s="8" t="s">
        <v>51</v>
      </c>
      <c r="E6" s="8" t="s">
        <v>52</v>
      </c>
      <c r="F6" s="8" t="s">
        <v>43</v>
      </c>
      <c r="G6" s="8" t="s">
        <v>53</v>
      </c>
      <c r="H6" s="8" t="s">
        <v>54</v>
      </c>
      <c r="I6" s="8" t="s">
        <v>55</v>
      </c>
      <c r="J6" s="11" t="s">
        <v>46</v>
      </c>
      <c r="K6" s="11" t="s">
        <v>47</v>
      </c>
      <c r="L6" s="9" t="s">
        <v>56</v>
      </c>
    </row>
    <row r="7" spans="1:12" ht="66" customHeight="1">
      <c r="A7" s="4">
        <v>3</v>
      </c>
      <c r="B7" s="5" t="s">
        <v>57</v>
      </c>
      <c r="C7" s="5" t="s">
        <v>58</v>
      </c>
      <c r="D7" s="5" t="s">
        <v>59</v>
      </c>
      <c r="E7" s="5" t="s">
        <v>60</v>
      </c>
      <c r="F7" s="5" t="s">
        <v>43</v>
      </c>
      <c r="G7" s="5" t="s">
        <v>42</v>
      </c>
      <c r="H7" s="5" t="s">
        <v>61</v>
      </c>
      <c r="I7" s="5" t="s">
        <v>62</v>
      </c>
      <c r="J7" s="10" t="s">
        <v>46</v>
      </c>
      <c r="K7" s="10" t="s">
        <v>63</v>
      </c>
      <c r="L7" s="6" t="s">
        <v>64</v>
      </c>
    </row>
    <row r="8" spans="1:12" ht="66" customHeight="1">
      <c r="A8" s="7">
        <v>4</v>
      </c>
      <c r="B8" s="8" t="s">
        <v>65</v>
      </c>
      <c r="C8" s="8" t="s">
        <v>58</v>
      </c>
      <c r="D8" s="8" t="s">
        <v>66</v>
      </c>
      <c r="E8" s="8" t="s">
        <v>67</v>
      </c>
      <c r="F8" s="8" t="s">
        <v>42</v>
      </c>
      <c r="G8" s="8" t="s">
        <v>68</v>
      </c>
      <c r="H8" s="8" t="s">
        <v>69</v>
      </c>
      <c r="I8" s="8" t="s">
        <v>70</v>
      </c>
      <c r="J8" s="11" t="s">
        <v>46</v>
      </c>
      <c r="K8" s="11" t="s">
        <v>63</v>
      </c>
      <c r="L8" s="9" t="s">
        <v>71</v>
      </c>
    </row>
    <row r="9" spans="1:12" ht="66" customHeight="1">
      <c r="A9" s="4">
        <v>5</v>
      </c>
      <c r="B9" s="5" t="s">
        <v>72</v>
      </c>
      <c r="C9" s="5" t="s">
        <v>50</v>
      </c>
      <c r="D9" s="5" t="s">
        <v>73</v>
      </c>
      <c r="E9" s="5" t="s">
        <v>74</v>
      </c>
      <c r="F9" s="5" t="s">
        <v>43</v>
      </c>
      <c r="G9" s="5" t="s">
        <v>75</v>
      </c>
      <c r="H9" s="5" t="s">
        <v>76</v>
      </c>
      <c r="I9" s="5" t="s">
        <v>77</v>
      </c>
      <c r="J9" s="10" t="s">
        <v>46</v>
      </c>
      <c r="K9" s="10" t="s">
        <v>47</v>
      </c>
      <c r="L9" s="6" t="s">
        <v>78</v>
      </c>
    </row>
    <row r="10" spans="1:12" ht="66" customHeight="1">
      <c r="A10" s="7">
        <v>6</v>
      </c>
      <c r="B10" s="8" t="s">
        <v>79</v>
      </c>
      <c r="C10" s="8" t="s">
        <v>50</v>
      </c>
      <c r="D10" s="8" t="s">
        <v>80</v>
      </c>
      <c r="E10" s="8" t="s">
        <v>81</v>
      </c>
      <c r="F10" s="8" t="s">
        <v>82</v>
      </c>
      <c r="G10" s="8" t="s">
        <v>83</v>
      </c>
      <c r="H10" s="8" t="s">
        <v>84</v>
      </c>
      <c r="I10" s="8" t="s">
        <v>85</v>
      </c>
      <c r="J10" s="11" t="s">
        <v>46</v>
      </c>
      <c r="K10" s="11" t="s">
        <v>47</v>
      </c>
      <c r="L10" s="9" t="s">
        <v>86</v>
      </c>
    </row>
    <row r="11" spans="1:12" ht="66" customHeight="1">
      <c r="A11" s="4">
        <v>7</v>
      </c>
      <c r="B11" s="5" t="s">
        <v>87</v>
      </c>
      <c r="C11" s="5" t="s">
        <v>39</v>
      </c>
      <c r="D11" s="5" t="s">
        <v>88</v>
      </c>
      <c r="E11" s="5" t="s">
        <v>89</v>
      </c>
      <c r="F11" s="5" t="s">
        <v>90</v>
      </c>
      <c r="G11" s="5" t="s">
        <v>91</v>
      </c>
      <c r="H11" s="5" t="s">
        <v>92</v>
      </c>
      <c r="I11" s="5" t="s">
        <v>93</v>
      </c>
      <c r="J11" s="10" t="s">
        <v>46</v>
      </c>
      <c r="K11" s="10" t="s">
        <v>47</v>
      </c>
      <c r="L11" s="6" t="s">
        <v>94</v>
      </c>
    </row>
    <row r="12" spans="1:12" ht="66" customHeight="1">
      <c r="A12" s="7">
        <v>8</v>
      </c>
      <c r="B12" s="8" t="s">
        <v>95</v>
      </c>
      <c r="C12" s="8" t="s">
        <v>58</v>
      </c>
      <c r="D12" s="8" t="s">
        <v>96</v>
      </c>
      <c r="E12" s="8" t="s">
        <v>97</v>
      </c>
      <c r="F12" s="8" t="s">
        <v>42</v>
      </c>
      <c r="G12" s="8" t="s">
        <v>43</v>
      </c>
      <c r="H12" s="8" t="s">
        <v>98</v>
      </c>
      <c r="I12" s="8" t="s">
        <v>99</v>
      </c>
      <c r="J12" s="11" t="s">
        <v>46</v>
      </c>
      <c r="K12" s="11" t="s">
        <v>63</v>
      </c>
      <c r="L12" s="9" t="s">
        <v>100</v>
      </c>
    </row>
    <row r="13" spans="1:12" ht="66" customHeight="1">
      <c r="A13" s="4">
        <v>9</v>
      </c>
      <c r="B13" s="5" t="s">
        <v>101</v>
      </c>
      <c r="C13" s="5" t="s">
        <v>39</v>
      </c>
      <c r="D13" s="5" t="s">
        <v>102</v>
      </c>
      <c r="E13" s="5" t="s">
        <v>103</v>
      </c>
      <c r="F13" s="5" t="s">
        <v>104</v>
      </c>
      <c r="G13" s="5" t="s">
        <v>43</v>
      </c>
      <c r="H13" s="5" t="s">
        <v>105</v>
      </c>
      <c r="I13" s="5" t="s">
        <v>106</v>
      </c>
      <c r="J13" s="10" t="s">
        <v>107</v>
      </c>
      <c r="K13" s="10" t="s">
        <v>47</v>
      </c>
      <c r="L13" s="6" t="s">
        <v>108</v>
      </c>
    </row>
    <row r="14" spans="1:12" ht="66" customHeight="1">
      <c r="A14" s="7">
        <v>10</v>
      </c>
      <c r="B14" s="8" t="s">
        <v>109</v>
      </c>
      <c r="C14" s="8" t="s">
        <v>58</v>
      </c>
      <c r="D14" s="8" t="s">
        <v>110</v>
      </c>
      <c r="E14" s="8" t="s">
        <v>111</v>
      </c>
      <c r="F14" s="8" t="s">
        <v>42</v>
      </c>
      <c r="G14" s="8" t="s">
        <v>68</v>
      </c>
      <c r="H14" s="8" t="s">
        <v>112</v>
      </c>
      <c r="I14" s="8" t="s">
        <v>113</v>
      </c>
      <c r="J14" s="11" t="s">
        <v>46</v>
      </c>
      <c r="K14" s="11" t="s">
        <v>63</v>
      </c>
      <c r="L14" s="9" t="s">
        <v>114</v>
      </c>
    </row>
  </sheetData>
  <mergeCells count="2">
    <mergeCell ref="A1:L1"/>
    <mergeCell ref="A2:L2"/>
  </mergeCells>
  <conditionalFormatting sqref="J5:J14">
    <cfRule type="expression" dxfId="2" priority="1">
      <formula>J5="Tinggi"</formula>
    </cfRule>
    <cfRule type="expression" dxfId="1" priority="2">
      <formula>J5="Sedang"</formula>
    </cfRule>
  </conditionalFormatting>
  <conditionalFormatting sqref="K5:K14">
    <cfRule type="expression" dxfId="0" priority="3">
      <formula>K5="Perlu verifikasi"</formula>
    </cfRule>
  </conditionalFormatting>
  <dataValidations count="3">
    <dataValidation type="list" sqref="C5:C14" xr:uid="{00000000-0002-0000-0100-000000000000}">
      <formula1>"Rutin,Berkala,Insidental,Insidental,Berkala,Berkala,Berkala"</formula1>
    </dataValidation>
    <dataValidation type="list" sqref="J5:J14" xr:uid="{00000000-0002-0000-0100-000001000000}">
      <formula1>"Tinggi,Sedang,Rendah"</formula1>
    </dataValidation>
    <dataValidation type="list" sqref="K5:K14" xr:uid="{00000000-0002-0000-0100-000002000000}">
      <formula1>"Belum dikonfirmasi,Perlu verifikasi,Dalam proses,Selesai dengan bukti,Tidak berlaku—alasan dicatat"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workbookViewId="0">
      <pane ySplit="4" topLeftCell="A5" activePane="bottomLeft" state="frozen"/>
      <selection pane="bottomLeft"/>
    </sheetView>
  </sheetViews>
  <sheetFormatPr defaultRowHeight="15"/>
  <cols>
    <col min="1" max="1" width="31" customWidth="1"/>
    <col min="2" max="2" width="18" customWidth="1"/>
    <col min="3" max="5" width="16" customWidth="1"/>
    <col min="6" max="6" width="18" customWidth="1"/>
    <col min="7" max="7" width="16" customWidth="1"/>
    <col min="8" max="8" width="18" customWidth="1"/>
    <col min="9" max="9" width="38" customWidth="1"/>
  </cols>
  <sheetData>
    <row r="1" spans="1:9" ht="30" customHeight="1">
      <c r="A1" s="53" t="s">
        <v>115</v>
      </c>
      <c r="B1" s="53"/>
      <c r="C1" s="53"/>
      <c r="D1" s="53"/>
      <c r="E1" s="53"/>
      <c r="F1" s="53"/>
      <c r="G1" s="53"/>
      <c r="H1" s="53"/>
      <c r="I1" s="53"/>
    </row>
    <row r="2" spans="1:9" ht="35.1" customHeight="1">
      <c r="A2" s="49" t="s">
        <v>116</v>
      </c>
      <c r="B2" s="49"/>
      <c r="C2" s="49"/>
      <c r="D2" s="49"/>
      <c r="E2" s="49"/>
      <c r="F2" s="49"/>
      <c r="G2" s="49"/>
      <c r="H2" s="49"/>
      <c r="I2" s="49"/>
    </row>
    <row r="3" spans="1:9" ht="8.1" customHeight="1">
      <c r="A3" s="54"/>
      <c r="B3" s="54"/>
      <c r="C3" s="54"/>
      <c r="D3" s="54"/>
      <c r="E3" s="54"/>
      <c r="F3" s="54"/>
      <c r="G3" s="54"/>
      <c r="H3" s="54"/>
      <c r="I3" s="54"/>
    </row>
    <row r="4" spans="1:9" ht="39.950000000000003" customHeight="1">
      <c r="A4" s="1" t="s">
        <v>117</v>
      </c>
      <c r="B4" s="2" t="s">
        <v>118</v>
      </c>
      <c r="C4" s="2" t="s">
        <v>119</v>
      </c>
      <c r="D4" s="2" t="s">
        <v>120</v>
      </c>
      <c r="E4" s="2" t="s">
        <v>121</v>
      </c>
      <c r="F4" s="2" t="s">
        <v>122</v>
      </c>
      <c r="G4" s="2" t="s">
        <v>123</v>
      </c>
      <c r="H4" s="2" t="s">
        <v>124</v>
      </c>
      <c r="I4" s="3" t="s">
        <v>125</v>
      </c>
    </row>
    <row r="5" spans="1:9" ht="63" customHeight="1">
      <c r="A5" s="4" t="s">
        <v>126</v>
      </c>
      <c r="B5" s="5" t="s">
        <v>42</v>
      </c>
      <c r="C5" s="5" t="s">
        <v>127</v>
      </c>
      <c r="D5" s="5" t="s">
        <v>127</v>
      </c>
      <c r="E5" s="5" t="s">
        <v>127</v>
      </c>
      <c r="F5" s="5" t="s">
        <v>128</v>
      </c>
      <c r="G5" s="5" t="s">
        <v>129</v>
      </c>
      <c r="H5" s="5" t="s">
        <v>130</v>
      </c>
      <c r="I5" s="6" t="s">
        <v>131</v>
      </c>
    </row>
    <row r="6" spans="1:9" ht="63" customHeight="1">
      <c r="A6" s="7" t="s">
        <v>132</v>
      </c>
      <c r="B6" s="8" t="s">
        <v>43</v>
      </c>
      <c r="C6" s="8" t="s">
        <v>133</v>
      </c>
      <c r="D6" s="8" t="s">
        <v>134</v>
      </c>
      <c r="E6" s="8" t="s">
        <v>134</v>
      </c>
      <c r="F6" s="8" t="s">
        <v>135</v>
      </c>
      <c r="G6" s="8" t="s">
        <v>136</v>
      </c>
      <c r="H6" s="8" t="s">
        <v>137</v>
      </c>
      <c r="I6" s="9" t="s">
        <v>138</v>
      </c>
    </row>
    <row r="7" spans="1:9" ht="63" customHeight="1">
      <c r="A7" s="4" t="s">
        <v>139</v>
      </c>
      <c r="B7" s="5" t="s">
        <v>43</v>
      </c>
      <c r="C7" s="5" t="s">
        <v>140</v>
      </c>
      <c r="D7" s="5" t="s">
        <v>141</v>
      </c>
      <c r="E7" s="5" t="s">
        <v>142</v>
      </c>
      <c r="F7" s="5" t="s">
        <v>143</v>
      </c>
      <c r="G7" s="5" t="s">
        <v>144</v>
      </c>
      <c r="H7" s="5" t="s">
        <v>145</v>
      </c>
      <c r="I7" s="6" t="s">
        <v>146</v>
      </c>
    </row>
    <row r="8" spans="1:9" ht="63" customHeight="1">
      <c r="A8" s="7" t="s">
        <v>147</v>
      </c>
      <c r="B8" s="8" t="s">
        <v>42</v>
      </c>
      <c r="C8" s="8" t="s">
        <v>148</v>
      </c>
      <c r="D8" s="8" t="s">
        <v>149</v>
      </c>
      <c r="E8" s="8" t="s">
        <v>149</v>
      </c>
      <c r="F8" s="8" t="s">
        <v>149</v>
      </c>
      <c r="G8" s="8" t="s">
        <v>149</v>
      </c>
      <c r="H8" s="8" t="s">
        <v>149</v>
      </c>
      <c r="I8" s="9" t="s">
        <v>150</v>
      </c>
    </row>
    <row r="9" spans="1:9" ht="63" customHeight="1">
      <c r="A9" s="4" t="s">
        <v>151</v>
      </c>
      <c r="B9" s="5" t="s">
        <v>43</v>
      </c>
      <c r="C9" s="5" t="s">
        <v>149</v>
      </c>
      <c r="D9" s="5" t="s">
        <v>152</v>
      </c>
      <c r="E9" s="5" t="s">
        <v>153</v>
      </c>
      <c r="F9" s="5" t="s">
        <v>154</v>
      </c>
      <c r="G9" s="5" t="s">
        <v>149</v>
      </c>
      <c r="H9" s="5" t="s">
        <v>149</v>
      </c>
      <c r="I9" s="6" t="s">
        <v>155</v>
      </c>
    </row>
    <row r="10" spans="1:9" ht="63" customHeight="1">
      <c r="A10" s="7" t="s">
        <v>156</v>
      </c>
      <c r="B10" s="8" t="s">
        <v>82</v>
      </c>
      <c r="C10" s="8" t="s">
        <v>149</v>
      </c>
      <c r="D10" s="8" t="s">
        <v>149</v>
      </c>
      <c r="E10" s="8" t="s">
        <v>157</v>
      </c>
      <c r="F10" s="8" t="s">
        <v>158</v>
      </c>
      <c r="G10" s="8" t="s">
        <v>149</v>
      </c>
      <c r="H10" s="8" t="s">
        <v>149</v>
      </c>
      <c r="I10" s="9" t="s">
        <v>159</v>
      </c>
    </row>
    <row r="11" spans="1:9" ht="63" customHeight="1">
      <c r="A11" s="4" t="s">
        <v>160</v>
      </c>
      <c r="B11" s="5" t="s">
        <v>90</v>
      </c>
      <c r="C11" s="5" t="s">
        <v>161</v>
      </c>
      <c r="D11" s="5" t="s">
        <v>161</v>
      </c>
      <c r="E11" s="5" t="s">
        <v>161</v>
      </c>
      <c r="F11" s="5" t="s">
        <v>162</v>
      </c>
      <c r="G11" s="5" t="s">
        <v>161</v>
      </c>
      <c r="H11" s="5" t="s">
        <v>163</v>
      </c>
      <c r="I11" s="6" t="s">
        <v>164</v>
      </c>
    </row>
    <row r="12" spans="1:9" ht="63" customHeight="1">
      <c r="A12" s="7" t="s">
        <v>165</v>
      </c>
      <c r="B12" s="8" t="s">
        <v>42</v>
      </c>
      <c r="C12" s="8" t="s">
        <v>149</v>
      </c>
      <c r="D12" s="8" t="s">
        <v>166</v>
      </c>
      <c r="E12" s="8" t="s">
        <v>167</v>
      </c>
      <c r="F12" s="8" t="s">
        <v>168</v>
      </c>
      <c r="G12" s="8" t="s">
        <v>169</v>
      </c>
      <c r="H12" s="8" t="s">
        <v>149</v>
      </c>
      <c r="I12" s="9" t="s">
        <v>170</v>
      </c>
    </row>
    <row r="13" spans="1:9" ht="63" customHeight="1">
      <c r="A13" s="4" t="s">
        <v>171</v>
      </c>
      <c r="B13" s="5" t="s">
        <v>104</v>
      </c>
      <c r="C13" s="5" t="s">
        <v>172</v>
      </c>
      <c r="D13" s="5" t="s">
        <v>172</v>
      </c>
      <c r="E13" s="5" t="s">
        <v>172</v>
      </c>
      <c r="F13" s="5" t="s">
        <v>173</v>
      </c>
      <c r="G13" s="5" t="s">
        <v>172</v>
      </c>
      <c r="H13" s="5" t="s">
        <v>174</v>
      </c>
      <c r="I13" s="6" t="s">
        <v>175</v>
      </c>
    </row>
    <row r="14" spans="1:9" ht="63" customHeight="1">
      <c r="A14" s="7" t="s">
        <v>176</v>
      </c>
      <c r="B14" s="8" t="s">
        <v>42</v>
      </c>
      <c r="C14" s="8" t="s">
        <v>149</v>
      </c>
      <c r="D14" s="8" t="s">
        <v>149</v>
      </c>
      <c r="E14" s="8" t="s">
        <v>149</v>
      </c>
      <c r="F14" s="8" t="s">
        <v>149</v>
      </c>
      <c r="G14" s="8" t="s">
        <v>177</v>
      </c>
      <c r="H14" s="8" t="s">
        <v>178</v>
      </c>
      <c r="I14" s="9" t="s">
        <v>179</v>
      </c>
    </row>
  </sheetData>
  <mergeCells count="2">
    <mergeCell ref="A1:I1"/>
    <mergeCell ref="A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pane ySplit="4" topLeftCell="A5" activePane="bottomLeft" state="frozen"/>
      <selection pane="bottomLeft"/>
    </sheetView>
  </sheetViews>
  <sheetFormatPr defaultRowHeight="15"/>
  <cols>
    <col min="1" max="1" width="14" customWidth="1"/>
    <col min="2" max="2" width="31" customWidth="1"/>
    <col min="3" max="3" width="37" customWidth="1"/>
    <col min="4" max="4" width="22" customWidth="1"/>
    <col min="5" max="5" width="41" customWidth="1"/>
    <col min="6" max="6" width="31" customWidth="1"/>
  </cols>
  <sheetData>
    <row r="1" spans="1:6" ht="30" customHeight="1">
      <c r="A1" s="53" t="s">
        <v>180</v>
      </c>
      <c r="B1" s="53"/>
      <c r="C1" s="53"/>
      <c r="D1" s="53"/>
      <c r="E1" s="53"/>
      <c r="F1" s="53"/>
    </row>
    <row r="2" spans="1:6" ht="35.1" customHeight="1">
      <c r="A2" s="49" t="s">
        <v>181</v>
      </c>
      <c r="B2" s="49"/>
      <c r="C2" s="49"/>
      <c r="D2" s="49"/>
      <c r="E2" s="49"/>
      <c r="F2" s="49"/>
    </row>
    <row r="3" spans="1:6" ht="8.1" customHeight="1">
      <c r="A3" s="54"/>
      <c r="B3" s="54"/>
      <c r="C3" s="54"/>
      <c r="D3" s="54"/>
      <c r="E3" s="54"/>
      <c r="F3" s="54"/>
    </row>
    <row r="4" spans="1:6" ht="39.950000000000003" customHeight="1">
      <c r="A4" s="1" t="s">
        <v>182</v>
      </c>
      <c r="B4" s="2" t="s">
        <v>117</v>
      </c>
      <c r="C4" s="2" t="s">
        <v>183</v>
      </c>
      <c r="D4" s="2" t="s">
        <v>184</v>
      </c>
      <c r="E4" s="2" t="s">
        <v>185</v>
      </c>
      <c r="F4" s="3" t="s">
        <v>186</v>
      </c>
    </row>
    <row r="5" spans="1:6" ht="66" customHeight="1">
      <c r="A5" s="4" t="s">
        <v>187</v>
      </c>
      <c r="B5" s="5" t="s">
        <v>188</v>
      </c>
      <c r="C5" s="5" t="s">
        <v>189</v>
      </c>
      <c r="D5" s="5" t="s">
        <v>190</v>
      </c>
      <c r="E5" s="5" t="s">
        <v>191</v>
      </c>
      <c r="F5" s="6" t="s">
        <v>192</v>
      </c>
    </row>
    <row r="6" spans="1:6" ht="66" customHeight="1">
      <c r="A6" s="7" t="s">
        <v>187</v>
      </c>
      <c r="B6" s="8" t="s">
        <v>193</v>
      </c>
      <c r="C6" s="8" t="s">
        <v>194</v>
      </c>
      <c r="D6" s="8" t="s">
        <v>195</v>
      </c>
      <c r="E6" s="8" t="s">
        <v>196</v>
      </c>
      <c r="F6" s="9" t="s">
        <v>197</v>
      </c>
    </row>
    <row r="7" spans="1:6" ht="66" customHeight="1">
      <c r="A7" s="4" t="s">
        <v>187</v>
      </c>
      <c r="B7" s="5" t="s">
        <v>198</v>
      </c>
      <c r="C7" s="5" t="s">
        <v>199</v>
      </c>
      <c r="D7" s="5" t="s">
        <v>190</v>
      </c>
      <c r="E7" s="5" t="s">
        <v>200</v>
      </c>
      <c r="F7" s="6" t="s">
        <v>201</v>
      </c>
    </row>
    <row r="8" spans="1:6" ht="66" customHeight="1">
      <c r="A8" s="7" t="s">
        <v>187</v>
      </c>
      <c r="B8" s="8" t="s">
        <v>156</v>
      </c>
      <c r="C8" s="8" t="s">
        <v>202</v>
      </c>
      <c r="D8" s="8" t="s">
        <v>203</v>
      </c>
      <c r="E8" s="8" t="s">
        <v>204</v>
      </c>
      <c r="F8" s="9" t="s">
        <v>205</v>
      </c>
    </row>
    <row r="9" spans="1:6" ht="66" customHeight="1">
      <c r="A9" s="4" t="s">
        <v>206</v>
      </c>
      <c r="B9" s="5" t="s">
        <v>207</v>
      </c>
      <c r="C9" s="5" t="s">
        <v>208</v>
      </c>
      <c r="D9" s="5" t="s">
        <v>209</v>
      </c>
      <c r="E9" s="5" t="s">
        <v>210</v>
      </c>
      <c r="F9" s="6" t="s">
        <v>211</v>
      </c>
    </row>
    <row r="10" spans="1:6" ht="66" customHeight="1">
      <c r="A10" s="7" t="s">
        <v>206</v>
      </c>
      <c r="B10" s="8" t="s">
        <v>212</v>
      </c>
      <c r="C10" s="8" t="s">
        <v>213</v>
      </c>
      <c r="D10" s="8" t="s">
        <v>214</v>
      </c>
      <c r="E10" s="8" t="s">
        <v>215</v>
      </c>
      <c r="F10" s="9" t="s">
        <v>216</v>
      </c>
    </row>
  </sheetData>
  <mergeCells count="2">
    <mergeCell ref="A1:F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pane ySplit="4" topLeftCell="A5" activePane="bottomLeft" state="frozen"/>
      <selection pane="bottomLeft"/>
    </sheetView>
  </sheetViews>
  <sheetFormatPr defaultRowHeight="15"/>
  <cols>
    <col min="1" max="1" width="7" customWidth="1"/>
    <col min="2" max="2" width="48" customWidth="1"/>
    <col min="3" max="3" width="43" customWidth="1"/>
    <col min="4" max="4" width="32" customWidth="1"/>
  </cols>
  <sheetData>
    <row r="1" spans="1:4" ht="30" customHeight="1">
      <c r="A1" s="53" t="s">
        <v>217</v>
      </c>
      <c r="B1" s="53"/>
      <c r="C1" s="53"/>
      <c r="D1" s="53"/>
    </row>
    <row r="2" spans="1:4" ht="35.1" customHeight="1">
      <c r="A2" s="49" t="s">
        <v>218</v>
      </c>
      <c r="B2" s="49"/>
      <c r="C2" s="49"/>
      <c r="D2" s="49"/>
    </row>
    <row r="3" spans="1:4" ht="8.1" customHeight="1">
      <c r="A3" s="54"/>
      <c r="B3" s="54"/>
      <c r="C3" s="54"/>
      <c r="D3" s="54"/>
    </row>
    <row r="4" spans="1:4" ht="39.950000000000003" customHeight="1">
      <c r="A4" s="1" t="s">
        <v>219</v>
      </c>
      <c r="B4" s="2" t="s">
        <v>220</v>
      </c>
      <c r="C4" s="2" t="s">
        <v>221</v>
      </c>
      <c r="D4" s="3" t="s">
        <v>222</v>
      </c>
    </row>
    <row r="5" spans="1:4" ht="69.95" customHeight="1">
      <c r="A5" s="4">
        <v>1</v>
      </c>
      <c r="B5" s="5" t="s">
        <v>223</v>
      </c>
      <c r="C5" s="5" t="s">
        <v>224</v>
      </c>
      <c r="D5" s="6" t="s">
        <v>225</v>
      </c>
    </row>
    <row r="6" spans="1:4" ht="69.95" customHeight="1">
      <c r="A6" s="7">
        <v>2</v>
      </c>
      <c r="B6" s="8" t="s">
        <v>226</v>
      </c>
      <c r="C6" s="8" t="s">
        <v>227</v>
      </c>
      <c r="D6" s="9" t="s">
        <v>228</v>
      </c>
    </row>
    <row r="7" spans="1:4" ht="69.95" customHeight="1">
      <c r="A7" s="4">
        <v>3</v>
      </c>
      <c r="B7" s="5" t="s">
        <v>229</v>
      </c>
      <c r="C7" s="5" t="s">
        <v>230</v>
      </c>
      <c r="D7" s="6" t="s">
        <v>231</v>
      </c>
    </row>
    <row r="8" spans="1:4" ht="69.95" customHeight="1">
      <c r="A8" s="7">
        <v>4</v>
      </c>
      <c r="B8" s="8" t="s">
        <v>232</v>
      </c>
      <c r="C8" s="8" t="s">
        <v>233</v>
      </c>
      <c r="D8" s="9" t="s">
        <v>234</v>
      </c>
    </row>
    <row r="9" spans="1:4" ht="69.95" customHeight="1">
      <c r="A9" s="4">
        <v>5</v>
      </c>
      <c r="B9" s="5" t="s">
        <v>235</v>
      </c>
      <c r="C9" s="5" t="s">
        <v>236</v>
      </c>
      <c r="D9" s="6" t="s">
        <v>237</v>
      </c>
    </row>
  </sheetData>
  <mergeCells count="2">
    <mergeCell ref="A1:D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pane ySplit="4" topLeftCell="A5" activePane="bottomLeft" state="frozen"/>
      <selection pane="bottomLeft"/>
    </sheetView>
  </sheetViews>
  <sheetFormatPr defaultRowHeight="15"/>
  <cols>
    <col min="1" max="1" width="26" customWidth="1"/>
    <col min="2" max="2" width="43" customWidth="1"/>
    <col min="3" max="3" width="52" customWidth="1"/>
    <col min="4" max="4" width="46" customWidth="1"/>
  </cols>
  <sheetData>
    <row r="1" spans="1:4" ht="30" customHeight="1">
      <c r="A1" s="53" t="s">
        <v>238</v>
      </c>
      <c r="B1" s="53"/>
      <c r="C1" s="53"/>
      <c r="D1" s="53"/>
    </row>
    <row r="2" spans="1:4" ht="35.1" customHeight="1">
      <c r="A2" s="49" t="s">
        <v>239</v>
      </c>
      <c r="B2" s="49"/>
      <c r="C2" s="49"/>
      <c r="D2" s="49"/>
    </row>
    <row r="3" spans="1:4" ht="8.1" customHeight="1">
      <c r="A3" s="54"/>
      <c r="B3" s="54"/>
      <c r="C3" s="54"/>
      <c r="D3" s="54"/>
    </row>
    <row r="4" spans="1:4" ht="39.950000000000003" customHeight="1">
      <c r="A4" s="1" t="s">
        <v>240</v>
      </c>
      <c r="B4" s="2" t="s">
        <v>241</v>
      </c>
      <c r="C4" s="2" t="s">
        <v>242</v>
      </c>
      <c r="D4" s="3" t="s">
        <v>243</v>
      </c>
    </row>
    <row r="5" spans="1:4" ht="75.95" customHeight="1">
      <c r="A5" s="4" t="s">
        <v>244</v>
      </c>
      <c r="B5" s="5" t="s">
        <v>245</v>
      </c>
      <c r="C5" s="5" t="s">
        <v>246</v>
      </c>
      <c r="D5" s="6" t="s">
        <v>247</v>
      </c>
    </row>
    <row r="6" spans="1:4" ht="75.95" customHeight="1">
      <c r="A6" s="7" t="s">
        <v>248</v>
      </c>
      <c r="B6" s="8" t="s">
        <v>249</v>
      </c>
      <c r="C6" s="8" t="s">
        <v>250</v>
      </c>
      <c r="D6" s="9" t="s">
        <v>251</v>
      </c>
    </row>
    <row r="7" spans="1:4" ht="75.95" customHeight="1">
      <c r="A7" s="4" t="s">
        <v>252</v>
      </c>
      <c r="B7" s="5" t="s">
        <v>253</v>
      </c>
      <c r="C7" s="5" t="s">
        <v>254</v>
      </c>
      <c r="D7" s="6" t="s">
        <v>255</v>
      </c>
    </row>
    <row r="8" spans="1:4" ht="75.95" customHeight="1">
      <c r="A8" s="7" t="s">
        <v>256</v>
      </c>
      <c r="B8" s="8" t="s">
        <v>257</v>
      </c>
      <c r="C8" s="8" t="s">
        <v>258</v>
      </c>
      <c r="D8" s="9" t="s">
        <v>259</v>
      </c>
    </row>
    <row r="9" spans="1:4" ht="75.95" customHeight="1">
      <c r="A9" s="4" t="s">
        <v>260</v>
      </c>
      <c r="B9" s="5" t="s">
        <v>261</v>
      </c>
      <c r="C9" s="5" t="s">
        <v>262</v>
      </c>
      <c r="D9" s="6" t="s">
        <v>263</v>
      </c>
    </row>
    <row r="10" spans="1:4" ht="75.95" customHeight="1">
      <c r="A10" s="7" t="s">
        <v>264</v>
      </c>
      <c r="B10" s="8" t="s">
        <v>265</v>
      </c>
      <c r="C10" s="8" t="s">
        <v>266</v>
      </c>
      <c r="D10" s="9" t="s">
        <v>267</v>
      </c>
    </row>
    <row r="11" spans="1:4" ht="75.95" customHeight="1">
      <c r="A11" s="4" t="s">
        <v>268</v>
      </c>
      <c r="B11" s="5" t="s">
        <v>269</v>
      </c>
      <c r="C11" s="5" t="s">
        <v>270</v>
      </c>
      <c r="D11" s="6" t="s">
        <v>271</v>
      </c>
    </row>
    <row r="12" spans="1:4" ht="75.95" customHeight="1">
      <c r="A12" s="7" t="s">
        <v>272</v>
      </c>
      <c r="B12" s="8" t="s">
        <v>273</v>
      </c>
      <c r="C12" s="8" t="s">
        <v>274</v>
      </c>
      <c r="D12" s="9" t="s">
        <v>275</v>
      </c>
    </row>
  </sheetData>
  <mergeCells count="2">
    <mergeCell ref="A1:D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pane ySplit="4" topLeftCell="A5" activePane="bottomLeft" state="frozen"/>
      <selection pane="bottomLeft"/>
    </sheetView>
  </sheetViews>
  <sheetFormatPr defaultRowHeight="15"/>
  <cols>
    <col min="1" max="1" width="27" customWidth="1"/>
    <col min="2" max="2" width="28" customWidth="1"/>
    <col min="3" max="3" width="33" customWidth="1"/>
    <col min="4" max="4" width="39" customWidth="1"/>
    <col min="5" max="5" width="43" customWidth="1"/>
    <col min="6" max="6" width="41" customWidth="1"/>
  </cols>
  <sheetData>
    <row r="1" spans="1:6" ht="30" customHeight="1">
      <c r="A1" s="53" t="s">
        <v>276</v>
      </c>
      <c r="B1" s="53"/>
      <c r="C1" s="53"/>
      <c r="D1" s="53"/>
      <c r="E1" s="53"/>
      <c r="F1" s="53"/>
    </row>
    <row r="2" spans="1:6" ht="35.1" customHeight="1">
      <c r="A2" s="49" t="s">
        <v>277</v>
      </c>
      <c r="B2" s="49"/>
      <c r="C2" s="49"/>
      <c r="D2" s="49"/>
      <c r="E2" s="49"/>
      <c r="F2" s="49"/>
    </row>
    <row r="3" spans="1:6" ht="8.1" customHeight="1">
      <c r="A3" s="54"/>
      <c r="B3" s="54"/>
      <c r="C3" s="54"/>
      <c r="D3" s="54"/>
      <c r="E3" s="54"/>
      <c r="F3" s="54"/>
    </row>
    <row r="4" spans="1:6" ht="39.950000000000003" customHeight="1">
      <c r="A4" s="1" t="s">
        <v>278</v>
      </c>
      <c r="B4" s="2" t="s">
        <v>279</v>
      </c>
      <c r="C4" s="2" t="s">
        <v>280</v>
      </c>
      <c r="D4" s="2" t="s">
        <v>281</v>
      </c>
      <c r="E4" s="2" t="s">
        <v>282</v>
      </c>
      <c r="F4" s="3" t="s">
        <v>283</v>
      </c>
    </row>
    <row r="5" spans="1:6" ht="72" customHeight="1">
      <c r="A5" s="4" t="s">
        <v>284</v>
      </c>
      <c r="B5" s="5" t="s">
        <v>285</v>
      </c>
      <c r="C5" s="5" t="s">
        <v>286</v>
      </c>
      <c r="D5" s="5" t="s">
        <v>63</v>
      </c>
      <c r="E5" s="5" t="s">
        <v>287</v>
      </c>
      <c r="F5" s="6" t="s">
        <v>288</v>
      </c>
    </row>
    <row r="6" spans="1:6" ht="72" customHeight="1">
      <c r="A6" s="7" t="s">
        <v>289</v>
      </c>
      <c r="B6" s="8" t="s">
        <v>290</v>
      </c>
      <c r="C6" s="8" t="s">
        <v>291</v>
      </c>
      <c r="D6" s="8" t="s">
        <v>292</v>
      </c>
      <c r="E6" s="8" t="s">
        <v>293</v>
      </c>
      <c r="F6" s="9" t="s">
        <v>294</v>
      </c>
    </row>
    <row r="7" spans="1:6" ht="72" customHeight="1">
      <c r="A7" s="4" t="s">
        <v>295</v>
      </c>
      <c r="B7" s="5" t="s">
        <v>296</v>
      </c>
      <c r="C7" s="5" t="s">
        <v>297</v>
      </c>
      <c r="D7" s="5" t="s">
        <v>298</v>
      </c>
      <c r="E7" s="5" t="s">
        <v>299</v>
      </c>
      <c r="F7" s="6" t="s">
        <v>300</v>
      </c>
    </row>
    <row r="8" spans="1:6" ht="72" customHeight="1">
      <c r="A8" s="7" t="s">
        <v>301</v>
      </c>
      <c r="B8" s="8" t="s">
        <v>302</v>
      </c>
      <c r="C8" s="8" t="s">
        <v>303</v>
      </c>
      <c r="D8" s="8" t="s">
        <v>63</v>
      </c>
      <c r="E8" s="8" t="s">
        <v>304</v>
      </c>
      <c r="F8" s="9" t="s">
        <v>305</v>
      </c>
    </row>
    <row r="9" spans="1:6" ht="8.1" customHeight="1"/>
    <row r="10" spans="1:6" ht="39.950000000000003" customHeight="1">
      <c r="A10" s="42" t="s">
        <v>306</v>
      </c>
      <c r="B10" s="43"/>
      <c r="C10" s="43"/>
      <c r="D10" s="43"/>
      <c r="E10" s="43"/>
      <c r="F10" s="44"/>
    </row>
    <row r="11" spans="1:6" ht="32.1" customHeight="1">
      <c r="A11" s="45" t="s">
        <v>307</v>
      </c>
      <c r="B11" s="46"/>
      <c r="C11" s="46"/>
      <c r="D11" s="46"/>
      <c r="E11" s="46"/>
      <c r="F11" s="47"/>
    </row>
  </sheetData>
  <mergeCells count="4">
    <mergeCell ref="A1:F1"/>
    <mergeCell ref="A2:F2"/>
    <mergeCell ref="A10:F10"/>
    <mergeCell ref="A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2026-10-25T10:20:53Z</dcterms:created>
  <dcterms:modified xsi:type="dcterms:W3CDTF">2026-10-25T10:20:53Z</dcterms:modified>
  <cp:category/>
  <cp:contentStatus/>
</cp:coreProperties>
</file>